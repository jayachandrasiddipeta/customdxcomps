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gend" sheetId="2" state="visible" r:id="rId4"/>
    <sheet name="Backlog" sheetId="3" state="visible" r:id="rId5"/>
  </sheets>
  <definedNames>
    <definedName function="false" hidden="true" localSheetId="2" name="_xlnm._FilterDatabase" vbProcedure="false">Backlog!$A$1:$O$84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<sst xmlns="http://schemas.openxmlformats.org/spreadsheetml/2006/main" count="1210" uniqueCount="487">
  <si>
    <t xml:space="preserve">AF onboarding and framework backlog: estimate summary</t>
  </si>
  <si>
    <t xml:space="preserve">All figures are formulas over the Backlog sheet. Change Size, Priority or Status there and this sheet updates.</t>
  </si>
  <si>
    <t xml:space="preserve">Team velocity (points per sprint)</t>
  </si>
  <si>
    <t xml:space="preserve">Assumption: example velocity, replace with your team's actual figure.</t>
  </si>
  <si>
    <t xml:space="preserve">By phase</t>
  </si>
  <si>
    <t xml:space="preserve">Stories</t>
  </si>
  <si>
    <t xml:space="preserve">Points</t>
  </si>
  <si>
    <t xml:space="preserve">Points done</t>
  </si>
  <si>
    <t xml:space="preserve">Sprints (at velocity)</t>
  </si>
  <si>
    <t xml:space="preserve">0 - Framework refactor (CS)</t>
  </si>
  <si>
    <t xml:space="preserve">1 - AF foundation (CSAF)</t>
  </si>
  <si>
    <t xml:space="preserve">2 - AF web form</t>
  </si>
  <si>
    <t xml:space="preserve">3 - AF specializations</t>
  </si>
  <si>
    <t xml:space="preserve">4 - Test and go-live</t>
  </si>
  <si>
    <t xml:space="preserve">5 - Future: CSTR</t>
  </si>
  <si>
    <t xml:space="preserve">Total</t>
  </si>
  <si>
    <t xml:space="preserve">By priority</t>
  </si>
  <si>
    <t xml:space="preserve">P1 - Must</t>
  </si>
  <si>
    <t xml:space="preserve">P2 - Should</t>
  </si>
  <si>
    <t xml:space="preserve">P3 - Could / Future</t>
  </si>
  <si>
    <t xml:space="preserve">By intensity</t>
  </si>
  <si>
    <t xml:space="preserve">High</t>
  </si>
  <si>
    <t xml:space="preserve">Medium</t>
  </si>
  <si>
    <t xml:space="preserve">Low</t>
  </si>
  <si>
    <t xml:space="preserve">By size</t>
  </si>
  <si>
    <t xml:space="preserve">S</t>
  </si>
  <si>
    <t xml:space="preserve">M</t>
  </si>
  <si>
    <t xml:space="preserve">L</t>
  </si>
  <si>
    <t xml:space="preserve">By category</t>
  </si>
  <si>
    <t xml:space="preserve">AI</t>
  </si>
  <si>
    <t xml:space="preserve">AI / business rules</t>
  </si>
  <si>
    <t xml:space="preserve">AI / email</t>
  </si>
  <si>
    <t xml:space="preserve">Analysis</t>
  </si>
  <si>
    <t xml:space="preserve">Architecture</t>
  </si>
  <si>
    <t xml:space="preserve">Background processing</t>
  </si>
  <si>
    <t xml:space="preserve">Case processing</t>
  </si>
  <si>
    <t xml:space="preserve">Configuration</t>
  </si>
  <si>
    <t xml:space="preserve">Configuration / DCR</t>
  </si>
  <si>
    <t xml:space="preserve">Correspondence</t>
  </si>
  <si>
    <t xml:space="preserve">Data governance</t>
  </si>
  <si>
    <t xml:space="preserve">Data migration</t>
  </si>
  <si>
    <t xml:space="preserve">Data model</t>
  </si>
  <si>
    <t xml:space="preserve">Database</t>
  </si>
  <si>
    <t xml:space="preserve">DevOps</t>
  </si>
  <si>
    <t xml:space="preserve">Document generation</t>
  </si>
  <si>
    <t xml:space="preserve">Governance</t>
  </si>
  <si>
    <t xml:space="preserve">Integration</t>
  </si>
  <si>
    <t xml:space="preserve">Integration / email</t>
  </si>
  <si>
    <t xml:space="preserve">Refactoring</t>
  </si>
  <si>
    <t xml:space="preserve">Release</t>
  </si>
  <si>
    <t xml:space="preserve">Reporting</t>
  </si>
  <si>
    <t xml:space="preserve">Routing</t>
  </si>
  <si>
    <t xml:space="preserve">Security</t>
  </si>
  <si>
    <t xml:space="preserve">Security / SSO</t>
  </si>
  <si>
    <t xml:space="preserve">Testing</t>
  </si>
  <si>
    <t xml:space="preserve">UI</t>
  </si>
  <si>
    <t xml:space="preserve">UI / DX component</t>
  </si>
  <si>
    <t xml:space="preserve">UI / localization</t>
  </si>
  <si>
    <t xml:space="preserve">Validation</t>
  </si>
  <si>
    <t xml:space="preserve">AF go-live scope (P1, phases 0-4)</t>
  </si>
  <si>
    <t xml:space="preserve">P1 stories excluding future CSTR</t>
  </si>
  <si>
    <t xml:space="preserve">Legend and how to use this workbook</t>
  </si>
  <si>
    <t xml:space="preserve">Edit only the blue cells and the backlog columns Size, Intensity, Priority, Status, Owner. Story points and the Summary sheet recalculate from them.</t>
  </si>
  <si>
    <t xml:space="preserve">T-shirt size</t>
  </si>
  <si>
    <t xml:space="preserve">Story points</t>
  </si>
  <si>
    <t xml:space="preserve">Meaning</t>
  </si>
  <si>
    <t xml:space="preserve">Small, well understood change in one layer; little regression impact</t>
  </si>
  <si>
    <t xml:space="preserve">Points per size as given by you (S=2, M=3, L=8); change the blue cells to re-weight.</t>
  </si>
  <si>
    <t xml:space="preserve">Moderate change, a few rules or instances; some design or testing effort</t>
  </si>
  <si>
    <t xml:space="preserve">Large or cross-cutting change; refactoring, several layers, or heavy regression</t>
  </si>
  <si>
    <t xml:space="preserve">Intensity</t>
  </si>
  <si>
    <t xml:space="preserve">Meaning (technical risk and regression impact)</t>
  </si>
  <si>
    <t xml:space="preserve">Touches framework or security/isolation; failure affects Trinity or data separation</t>
  </si>
  <si>
    <t xml:space="preserve">Some design choices or cross-layer effects; contained regression</t>
  </si>
  <si>
    <t xml:space="preserve">Configuration or AF-only change with local impact</t>
  </si>
  <si>
    <t xml:space="preserve">Priority</t>
  </si>
  <si>
    <t xml:space="preserve">Needed for Adrian Flux go-live</t>
  </si>
  <si>
    <t xml:space="preserve">Important; can follow shortly after go-live or ship if capacity allows</t>
  </si>
  <si>
    <t xml:space="preserve">Future state (CSTR framework separation) or only if AF needs it</t>
  </si>
  <si>
    <t xml:space="preserve">Status</t>
  </si>
  <si>
    <t xml:space="preserve">Not started</t>
  </si>
  <si>
    <t xml:space="preserve">In progress</t>
  </si>
  <si>
    <t xml:space="preserve">Blocked</t>
  </si>
  <si>
    <t xml:space="preserve">Done</t>
  </si>
  <si>
    <t xml:space="preserve">Story IDs: F = Phase 0 framework refactor (CS), A = Phase 1 AF foundation (CSAF), W = Phase 2 AF web form (CSAFWebExt), S = Phase 3 AF specializations, T = Phase 4 test and go-live, R = Phase 5 future CSTR. Section numbers refer to the framework document.</t>
  </si>
  <si>
    <t xml:space="preserve">ID</t>
  </si>
  <si>
    <t xml:space="preserve">Phase</t>
  </si>
  <si>
    <t xml:space="preserve">Category</t>
  </si>
  <si>
    <t xml:space="preserve">Story title</t>
  </si>
  <si>
    <t xml:space="preserve">Description / scope</t>
  </si>
  <si>
    <t xml:space="preserve">Acceptance criteria</t>
  </si>
  <si>
    <t xml:space="preserve">Layer / app</t>
  </si>
  <si>
    <t xml:space="preserve">Doc section</t>
  </si>
  <si>
    <t xml:space="preserve">Size</t>
  </si>
  <si>
    <t xml:space="preserve">Depends on</t>
  </si>
  <si>
    <t xml:space="preserve">Owner / notes</t>
  </si>
  <si>
    <t xml:space="preserve">F-01</t>
  </si>
  <si>
    <t xml:space="preserve">Capability inventory and rule tagging</t>
  </si>
  <si>
    <t xml:space="preserve">List every Trinity capability and its rules; tag each Framework / Extend / Specialize.</t>
  </si>
  <si>
    <t xml:space="preserve">Inventory signed off; every rule in the FNOL flow tagged; extension point list agreed.</t>
  </si>
  <si>
    <t xml:space="preserve">CS</t>
  </si>
  <si>
    <t xml:space="preserve">2, 13</t>
  </si>
  <si>
    <t xml:space="preserve">F-02</t>
  </si>
  <si>
    <t xml:space="preserve">Scan CS rulesets for coverholder literals</t>
  </si>
  <si>
    <t xml:space="preserve">Search CS and CSWebExt for 'Trinity', TRI-, mailbox domains, class names, case type IDs, logos.</t>
  </si>
  <si>
    <t xml:space="preserve">Report of all hits with owning rule; each hit mapped to a refactoring story.</t>
  </si>
  <si>
    <t xml:space="preserve">2, 16</t>
  </si>
  <si>
    <t xml:space="preserve">F-03</t>
  </si>
  <si>
    <t xml:space="preserve">Coverholder configuration data type</t>
  </si>
  <si>
    <t xml:space="preserve">Create HCC-CS-Data-CoverholderConfig, table and D_CoverholderConfig (node, keyed by CoverholderCode); add TRI row.</t>
  </si>
  <si>
    <t xml:space="preserve">Data page returns TRI row; refresh on table change; PegaUnit on lookup.</t>
  </si>
  <si>
    <t xml:space="preserve">6</t>
  </si>
  <si>
    <t xml:space="preserve">F-04</t>
  </si>
  <si>
    <t xml:space="preserve">Application context data page</t>
  </si>
  <si>
    <t xml:space="preserve">Create HCC-CS-Data-AppContext, D_CSAppContext (requestor) and LoadAppContext with Trinity values.</t>
  </si>
  <si>
    <t xml:space="preserve">D_CSAppContext returns TRI and class names in CS context; documented as overridable per ruleset.</t>
  </si>
  <si>
    <t xml:space="preserve">F-05</t>
  </si>
  <si>
    <t xml:space="preserve">CoverholderCode on cases</t>
  </si>
  <si>
    <t xml:space="preserve">Add .CoverholderCode to HCC-CS-Work; set in pyDefault of HCC-CS-Work-FNOL; expose as column.</t>
  </si>
  <si>
    <t xml:space="preserve">New Trinity cases carry TRI; column populated and indexed.</t>
  </si>
  <si>
    <t xml:space="preserve">F-06</t>
  </si>
  <si>
    <t xml:space="preserve">Backfill CoverholderCode on existing cases</t>
  </si>
  <si>
    <t xml:space="preserve">Backfill TRI on open and closed Trinity FNOL and triage cases.</t>
  </si>
  <si>
    <t xml:space="preserve">All existing cases have TRI; reconciliation count matches; run log kept.</t>
  </si>
  <si>
    <t xml:space="preserve">6, 16</t>
  </si>
  <si>
    <t xml:space="preserve">F-07</t>
  </si>
  <si>
    <t xml:space="preserve">GetCoverholderCode resolver</t>
  </si>
  <si>
    <t xml:space="preserve">Shared rule: case .CoverholderCode first, else D_CSAppContext.</t>
  </si>
  <si>
    <t xml:space="preserve">Unit tests for case, case-less and background contexts.</t>
  </si>
  <si>
    <t xml:space="preserve">F-04, F-05</t>
  </si>
  <si>
    <t xml:space="preserve">F-08</t>
  </si>
  <si>
    <t xml:space="preserve">Replace hard-coded values with config lookups</t>
  </si>
  <si>
    <t xml:space="preserve">Replace literal class names, email accounts, prefixes, patterns, mailboxes found in F-02.</t>
  </si>
  <si>
    <t xml:space="preserve">Zero literal hits in re-scan (except Trinity _Ext defaults); Trinity regression green.</t>
  </si>
  <si>
    <t xml:space="preserve">3, 6</t>
  </si>
  <si>
    <t xml:space="preserve">F-02, F-07</t>
  </si>
  <si>
    <t xml:space="preserve">F-09</t>
  </si>
  <si>
    <t xml:space="preserve">Refactor NewDefaults into template + extensions</t>
  </si>
  <si>
    <t xml:space="preserve">Split NewDefaults; create DuplicateCheckCriteria_Ext, IsDuplicate_Ext, OnDuplicateFound_Ext, NewDefaults_Ext with Trinity defaults.</t>
  </si>
  <si>
    <t xml:space="preserve">Trinity duplicate outcomes identical on regression set; PegaUnit per _Ext.</t>
  </si>
  <si>
    <t xml:space="preserve">10</t>
  </si>
  <si>
    <t xml:space="preserve">F-10</t>
  </si>
  <si>
    <t xml:space="preserve">Class-aware duplicate candidate data page</t>
  </si>
  <si>
    <t xml:space="preserve">D_DuplicateCandidates runs the duplicate report in the case's own class.</t>
  </si>
  <si>
    <t xml:space="preserve">Query hits only the case's table; response time within agreed limit.</t>
  </si>
  <si>
    <t xml:space="preserve">F-11</t>
  </si>
  <si>
    <t xml:space="preserve">Refactor confirmation correspondence</t>
  </si>
  <si>
    <t xml:space="preserve">Split shared and coverholder paragraphs; sender account from config; ConfirmationRecipients_Ext.</t>
  </si>
  <si>
    <t xml:space="preserve">Trinity emails unchanged; account name not hard-coded.</t>
  </si>
  <si>
    <t xml:space="preserve">11</t>
  </si>
  <si>
    <t xml:space="preserve">F-12</t>
  </si>
  <si>
    <t xml:space="preserve">Refactor claim summary PDF</t>
  </si>
  <si>
    <t xml:space="preserve">Shared claim-details section; ClaimSummaryPDF override point; file name prefix and category from config.</t>
  </si>
  <si>
    <t xml:space="preserve">Trinity PDF identical; file name built from config.</t>
  </si>
  <si>
    <t xml:space="preserve">F-13</t>
  </si>
  <si>
    <t xml:space="preserve">Refactor AI image analysis configuration</t>
  </si>
  <si>
    <t xml:space="preserve">Move prompt and thresholds to config or ImageAnalysisPrompt_Ext; confirm QP context handling.</t>
  </si>
  <si>
    <t xml:space="preserve">Trinity analysis results unchanged; no literal prompt in framework activity.</t>
  </si>
  <si>
    <t xml:space="preserve">11, 14</t>
  </si>
  <si>
    <t xml:space="preserve">F-03, F-26</t>
  </si>
  <si>
    <t xml:space="preserve">F-14</t>
  </si>
  <si>
    <t xml:space="preserve">Refactor outbound validation email</t>
  </si>
  <si>
    <t xml:space="preserve">Template, recipient and subject pattern from config / correspondence by class.</t>
  </si>
  <si>
    <t xml:space="preserve">Trinity validation email unchanged; subject pattern matches listener parsing.</t>
  </si>
  <si>
    <t xml:space="preserve">12</t>
  </si>
  <si>
    <t xml:space="preserve">F-15</t>
  </si>
  <si>
    <t xml:space="preserve">Modularize triage processing on Work-Channel-Triage-Email</t>
  </si>
  <si>
    <t xml:space="preserve">Refactor CS-ruleset triage rules into template + ClassifyReply_Ext, ExtractReplyEntities_Ext, ProcessReplyAttachments_Ext, HandOverToFNOL_Ext, OnTriageException_Ext, ResolveCaseFromSubject_Ext.</t>
  </si>
  <si>
    <t xml:space="preserve">Trinity replies classified, linked and parsed exactly as before; each _Ext documented.</t>
  </si>
  <si>
    <t xml:space="preserve">6, 12</t>
  </si>
  <si>
    <t xml:space="preserve">F-01, F-03</t>
  </si>
  <si>
    <t xml:space="preserve">F-16</t>
  </si>
  <si>
    <t xml:space="preserve">Stamp coverholder on triage cases</t>
  </si>
  <si>
    <t xml:space="preserve">SetTriageCoverholder at triage creation from D_CSAppContext; expose column on triage table.</t>
  </si>
  <si>
    <t xml:space="preserve">Every new triage case has CoverholderCode; column usable in reports and access rules.</t>
  </si>
  <si>
    <t xml:space="preserve">F-17</t>
  </si>
  <si>
    <t xml:space="preserve">Refactor parsed-data mapping and validations</t>
  </si>
  <si>
    <t xml:space="preserve">MapParsedPolicyData_Ext and ApplyPolicyValidations_Ext on HCC-CS-Work-FNOL with Trinity defaults.</t>
  </si>
  <si>
    <t xml:space="preserve">Trinity review tabs show identical data and validation results.</t>
  </si>
  <si>
    <t xml:space="preserve">F-18</t>
  </si>
  <si>
    <t xml:space="preserve">Routing extension points</t>
  </si>
  <si>
    <t xml:space="preserve">RouteToClaimHandler_Ext and exception routing via config/decision table.</t>
  </si>
  <si>
    <t xml:space="preserve">Trinity routing unchanged; queues not hard-coded.</t>
  </si>
  <si>
    <t xml:space="preserve">13, 14</t>
  </si>
  <si>
    <t xml:space="preserve">F-19</t>
  </si>
  <si>
    <t xml:space="preserve">Libra ID validation from config</t>
  </si>
  <si>
    <t xml:space="preserve">ValidateLibraID_Ext using pattern from config.</t>
  </si>
  <si>
    <t xml:space="preserve">Trinity Libra IDs validate as today; invalid formats rejected.</t>
  </si>
  <si>
    <t xml:space="preserve">F-20</t>
  </si>
  <si>
    <t xml:space="preserve">Parameterize LOV and data-table data pages</t>
  </si>
  <si>
    <t xml:space="preserve">Add CoverholderCode parameter; class from config via pxRetrieveReportData.</t>
  </si>
  <si>
    <t xml:space="preserve">Trinity dropdowns unchanged; separate cache per coverholder.</t>
  </si>
  <si>
    <t xml:space="preserve">9</t>
  </si>
  <si>
    <t xml:space="preserve">F-21</t>
  </si>
  <si>
    <t xml:space="preserve">Make DX component configuration-driven</t>
  </si>
  <si>
    <t xml:space="preserve">Remove hard-coded values; add D_WebFormBootstrap; caseTypeID, LOVs, branding from config/bundle.</t>
  </si>
  <si>
    <t xml:space="preserve">Trinity form behaves identically; no literal case type or coverholder in component code.</t>
  </si>
  <si>
    <t xml:space="preserve">CS / CSWebExt</t>
  </si>
  <si>
    <t xml:space="preserve">8</t>
  </si>
  <si>
    <t xml:space="preserve">F-22</t>
  </si>
  <si>
    <t xml:space="preserve">Move component to shared component ruleset</t>
  </si>
  <si>
    <t xml:space="preserve">Publish the custom component into a shared CS component ruleset.</t>
  </si>
  <si>
    <t xml:space="preserve">Single component version used by CSWebExt; old copy withdrawn.</t>
  </si>
  <si>
    <t xml:space="preserve">4, 8</t>
  </si>
  <si>
    <t xml:space="preserve">F-23</t>
  </si>
  <si>
    <t xml:space="preserve">Bundle key-parity check</t>
  </si>
  <si>
    <t xml:space="preserve">Pipeline script comparing keys across web app bundles.</t>
  </si>
  <si>
    <t xml:space="preserve">Pipeline fails on missing keys.</t>
  </si>
  <si>
    <t xml:space="preserve">F-24</t>
  </si>
  <si>
    <t xml:space="preserve">Extension point catalogue</t>
  </si>
  <si>
    <t xml:space="preserve">Document each _Ext rule: purpose, inputs, outputs, default.</t>
  </si>
  <si>
    <t xml:space="preserve">Catalogue published and linked from rule descriptions.</t>
  </si>
  <si>
    <t xml:space="preserve">13</t>
  </si>
  <si>
    <t xml:space="preserve">F-09, F-15</t>
  </si>
  <si>
    <t xml:space="preserve">F-25</t>
  </si>
  <si>
    <t xml:space="preserve">Trinity regression and CS framework release</t>
  </si>
  <si>
    <t xml:space="preserve">Full Trinity regression after Phase 0; release CS version.</t>
  </si>
  <si>
    <t xml:space="preserve">Regression results identical to baseline; CS version locked.</t>
  </si>
  <si>
    <t xml:space="preserve">15, 16</t>
  </si>
  <si>
    <t xml:space="preserve">F-08 to F-22</t>
  </si>
  <si>
    <t xml:space="preserve">F-26</t>
  </si>
  <si>
    <t xml:space="preserve">Background processing inventory</t>
  </si>
  <si>
    <t xml:space="preserve">List QPs, job schedulers, agents, SLAs in FNOL flow and their access-group context.</t>
  </si>
  <si>
    <t xml:space="preserve">Inventory with decision per item: separate AF instance or case-resolved.</t>
  </si>
  <si>
    <t xml:space="preserve">14</t>
  </si>
  <si>
    <t xml:space="preserve">A-01</t>
  </si>
  <si>
    <t xml:space="preserve">Create CSAF application</t>
  </si>
  <si>
    <t xml:space="preserve">CSAF built on CS; rulesets CSAF, CSAFInt, CSAFData; case types list.</t>
  </si>
  <si>
    <t xml:space="preserve">Application opens; only AF case types shown.</t>
  </si>
  <si>
    <t xml:space="preserve">CSAF</t>
  </si>
  <si>
    <t xml:space="preserve">4</t>
  </si>
  <si>
    <t xml:space="preserve">A-02</t>
  </si>
  <si>
    <t xml:space="preserve">AF class group and classes</t>
  </si>
  <si>
    <t xml:space="preserve">HCC-CSAF-Work class group, HCC-CSAF-Work-FNOL with directed parent HCC-CS-Work-FNOL; table mappings.</t>
  </si>
  <si>
    <t xml:space="preserve">Classes created; rule resolution shows CS rules inherited.</t>
  </si>
  <si>
    <t xml:space="preserve">5</t>
  </si>
  <si>
    <t xml:space="preserve">A-03</t>
  </si>
  <si>
    <t xml:space="preserve">AF database tables (DDL)</t>
  </si>
  <si>
    <t xml:space="preserve">Case, history and index tables with columns matching CS exposed columns plus duplicate-check indexes.</t>
  </si>
  <si>
    <t xml:space="preserve">DDL executed in all environments; column parity verified.</t>
  </si>
  <si>
    <t xml:space="preserve">DBA</t>
  </si>
  <si>
    <t xml:space="preserve">A-04</t>
  </si>
  <si>
    <t xml:space="preserve">AF case type</t>
  </si>
  <si>
    <t xml:space="preserve">Thin case type rule calling CS processes; work ID prefix; pyDefault sets AF.</t>
  </si>
  <si>
    <t xml:space="preserve">AF case created with correct prefix and CoverholderCode AF.</t>
  </si>
  <si>
    <t xml:space="preserve">A-02, A-03</t>
  </si>
  <si>
    <t xml:space="preserve">A-05</t>
  </si>
  <si>
    <t xml:space="preserve">Stage-list comparison test</t>
  </si>
  <si>
    <t xml:space="preserve">Unit test comparing CS and AF case type stages.</t>
  </si>
  <si>
    <t xml:space="preserve">Test fails when stages diverge unexpectedly.</t>
  </si>
  <si>
    <t xml:space="preserve">A-06</t>
  </si>
  <si>
    <t xml:space="preserve">AF config row and context override</t>
  </si>
  <si>
    <t xml:space="preserve">AF row in config table; LoadAppContext override in CSAF ruleset.</t>
  </si>
  <si>
    <t xml:space="preserve">D_CSAppContext returns AF in CSAF context.</t>
  </si>
  <si>
    <t xml:space="preserve">A-01, F-04</t>
  </si>
  <si>
    <t xml:space="preserve">A-07</t>
  </si>
  <si>
    <t xml:space="preserve">AF LOV data type</t>
  </si>
  <si>
    <t xml:space="preserve">HCC-CSAF-Data-LOV, own table, AF-only properties, data load, added to app data types.</t>
  </si>
  <si>
    <t xml:space="preserve">AF dropdowns load AF values via shared data pages.</t>
  </si>
  <si>
    <t xml:space="preserve">A-02, F-20</t>
  </si>
  <si>
    <t xml:space="preserve">A-08</t>
  </si>
  <si>
    <t xml:space="preserve">Other AF data tables</t>
  </si>
  <si>
    <t xml:space="preserve">Apply LOV pattern to other web form / validation tables.</t>
  </si>
  <si>
    <t xml:space="preserve">Each table loads AF data through shared data pages.</t>
  </si>
  <si>
    <t xml:space="preserve">A-09</t>
  </si>
  <si>
    <t xml:space="preserve">AF roles, AROs and access groups</t>
  </si>
  <si>
    <t xml:space="preserve">Access roles depending on CS roles; AROs on HCC-CSAF-; access groups ClaimHandler, Supervisor, Background, Admin.</t>
  </si>
  <si>
    <t xml:space="preserve">AF users access only AF cases; Trinity users cannot open AF cases.</t>
  </si>
  <si>
    <t xml:space="preserve">7</t>
  </si>
  <si>
    <t xml:space="preserve">A-10</t>
  </si>
  <si>
    <t xml:space="preserve">Triage case isolation by coverholder</t>
  </si>
  <si>
    <t xml:space="preserve">Access When / access control policy on .CoverholderCode for Work-Channel-Triage-Email.</t>
  </si>
  <si>
    <t xml:space="preserve">Each coverholder sees only its own triage cases in UI, search and reports.</t>
  </si>
  <si>
    <t xml:space="preserve">CS / CSAF</t>
  </si>
  <si>
    <t xml:space="preserve">F-16, A-09</t>
  </si>
  <si>
    <t xml:space="preserve">A-11</t>
  </si>
  <si>
    <t xml:space="preserve">AF work groups and work queues</t>
  </si>
  <si>
    <t xml:space="preserve">CSAF_FNOL_Review, CSAF_Exceptions etc.; routing override.</t>
  </si>
  <si>
    <t xml:space="preserve">AF assignments land only in AF queues.</t>
  </si>
  <si>
    <t xml:space="preserve">A-09, F-18</t>
  </si>
  <si>
    <t xml:space="preserve">A-12</t>
  </si>
  <si>
    <t xml:space="preserve">Okta group mapping for AF users</t>
  </si>
  <si>
    <t xml:space="preserve">Okta group(s) mapped to CSAF access groups in the authentication service.</t>
  </si>
  <si>
    <t xml:space="preserve">AF user logs in via Okta into CSAF portal with correct access group.</t>
  </si>
  <si>
    <t xml:space="preserve">A-13</t>
  </si>
  <si>
    <t xml:space="preserve">AF SLA settings</t>
  </si>
  <si>
    <t xml:space="preserve">AF goals/deadlines via config or SLA overrides.</t>
  </si>
  <si>
    <t xml:space="preserve">AF SLAs fire with AF durations.</t>
  </si>
  <si>
    <t xml:space="preserve">W-01</t>
  </si>
  <si>
    <t xml:space="preserve">Create CSAFWebExt application</t>
  </si>
  <si>
    <t xml:space="preserve">CSAFWebExt built on CSAF (not CS).</t>
  </si>
  <si>
    <t xml:space="preserve">Guest requestor's stack shows CSAFWebExt &gt; CSAF &gt; CS.</t>
  </si>
  <si>
    <t xml:space="preserve">CSAFWebExt</t>
  </si>
  <si>
    <t xml:space="preserve">W-02</t>
  </si>
  <si>
    <t xml:space="preserve">AF guest operator and access group</t>
  </si>
  <si>
    <t xml:space="preserve">AF Guest User with CSAFWebExt:Guest: create case, read web form data pages, upload only.</t>
  </si>
  <si>
    <t xml:space="preserve">Guest cannot open, list or search any case.</t>
  </si>
  <si>
    <t xml:space="preserve">W-03</t>
  </si>
  <si>
    <t xml:space="preserve">AF OAuth client and CORS</t>
  </si>
  <si>
    <t xml:space="preserve">OAuth 2.0 client registration for AF web form; CORS restricted to AF host.</t>
  </si>
  <si>
    <t xml:space="preserve">DX calls from AF host succeed; other origins rejected.</t>
  </si>
  <si>
    <t xml:space="preserve">7, 8</t>
  </si>
  <si>
    <t xml:space="preserve">W-04</t>
  </si>
  <si>
    <t xml:space="preserve">AF localization bundle</t>
  </si>
  <si>
    <t xml:space="preserve">Bundle in CSAFWebExt with same keys; AF labels, placeholders, errors, tooltips, regex.</t>
  </si>
  <si>
    <t xml:space="preserve">All keys present (parity check green); AF wording shown.</t>
  </si>
  <si>
    <t xml:space="preserve">W-01, F-23</t>
  </si>
  <si>
    <t xml:space="preserve">W-05</t>
  </si>
  <si>
    <t xml:space="preserve">AF web form bootstrap values</t>
  </si>
  <si>
    <t xml:space="preserve">Case type ID, enabled sections, upload limits, allowed file types for AF.</t>
  </si>
  <si>
    <t xml:space="preserve">Component bootstraps AF values; creates HCC-CSAF-Work-FNOL.</t>
  </si>
  <si>
    <t xml:space="preserve">F-21, A-06</t>
  </si>
  <si>
    <t xml:space="preserve">W-06</t>
  </si>
  <si>
    <t xml:space="preserve">AF-only optional fields</t>
  </si>
  <si>
    <t xml:space="preserve">Add AF-only fields as config-enabled optional fields in the shared component (only if AF needs them).</t>
  </si>
  <si>
    <t xml:space="preserve">Fields hidden for Trinity, shown for AF.</t>
  </si>
  <si>
    <t xml:space="preserve">W-07</t>
  </si>
  <si>
    <t xml:space="preserve">Server-side validation for AF submission</t>
  </si>
  <si>
    <t xml:space="preserve">Edit-validate on HCC-CSAF-Work-FNOL using the same patterns as the bundle/config.</t>
  </si>
  <si>
    <t xml:space="preserve">Invalid payloads rejected via DX API even when client checks are bypassed.</t>
  </si>
  <si>
    <t xml:space="preserve">W-08</t>
  </si>
  <si>
    <t xml:space="preserve">Anonymous channel hardening</t>
  </si>
  <si>
    <t xml:space="preserve">CAPTCHA / rate limiting, upload type allow-list, size limit, malware scan, log masking.</t>
  </si>
  <si>
    <t xml:space="preserve">Pen-test findings on the channel closed; uploads scanned before AI analysis.</t>
  </si>
  <si>
    <t xml:space="preserve">W-09</t>
  </si>
  <si>
    <t xml:space="preserve">Embed and brand on AF host page</t>
  </si>
  <si>
    <t xml:space="preserve">Embed component with AF client ID; AF theme/logo via bundle or theme settings.</t>
  </si>
  <si>
    <t xml:space="preserve">AF page renders AF branding end to end.</t>
  </si>
  <si>
    <t xml:space="preserve">W-03, W-04</t>
  </si>
  <si>
    <t xml:space="preserve">W-10</t>
  </si>
  <si>
    <t xml:space="preserve">DX API contract tests</t>
  </si>
  <si>
    <t xml:space="preserve">Automated create tests for both guests: class, prefix, coverholder, attachments.</t>
  </si>
  <si>
    <t xml:space="preserve">Tests in pipeline; green for Trinity and AF.</t>
  </si>
  <si>
    <t xml:space="preserve">15</t>
  </si>
  <si>
    <t xml:space="preserve">S-01</t>
  </si>
  <si>
    <t xml:space="preserve">AF duplicate check rules</t>
  </si>
  <si>
    <t xml:space="preserve">AF overrides of DuplicateCheckCriteria_Ext, IsDuplicate_Ext, OnDuplicateFound_Ext.</t>
  </si>
  <si>
    <t xml:space="preserve">PegaUnit cases for AF rules; no duplicate details exposed to claimant.</t>
  </si>
  <si>
    <t xml:space="preserve">F-09, A-04</t>
  </si>
  <si>
    <t xml:space="preserve">S-02</t>
  </si>
  <si>
    <t xml:space="preserve">AF confirmation emails</t>
  </si>
  <si>
    <t xml:space="preserve">AF ClaimConfirmation templates and paragraphs; recipient rules.</t>
  </si>
  <si>
    <t xml:space="preserve">AF claimant/policy holder receive AF-branded email from AF account.</t>
  </si>
  <si>
    <t xml:space="preserve">F-11, S-06</t>
  </si>
  <si>
    <t xml:space="preserve">S-03</t>
  </si>
  <si>
    <t xml:space="preserve">AF claim summary PDF</t>
  </si>
  <si>
    <t xml:space="preserve">AF branding section; embedded fonts/images as binary rules.</t>
  </si>
  <si>
    <t xml:space="preserve">AF PDF attached with AF name pattern.</t>
  </si>
  <si>
    <t xml:space="preserve">S-04</t>
  </si>
  <si>
    <t xml:space="preserve">AF image analysis settings and DPIA</t>
  </si>
  <si>
    <t xml:space="preserve">AF prompts/thresholds only if different; confirm privacy terms for AI processing.</t>
  </si>
  <si>
    <t xml:space="preserve">DPIA approved; AF photos analysed with AF settings.</t>
  </si>
  <si>
    <t xml:space="preserve">S-05</t>
  </si>
  <si>
    <t xml:space="preserve">AF validation email</t>
  </si>
  <si>
    <t xml:space="preserve">AF template, recipient mailbox, subject with AF ID pattern.</t>
  </si>
  <si>
    <t xml:space="preserve">AF validation team receives request with parsable subject.</t>
  </si>
  <si>
    <t xml:space="preserve">S-06</t>
  </si>
  <si>
    <t xml:space="preserve">AF email accounts</t>
  </si>
  <si>
    <t xml:space="preserve">Inbound and outbound AF email accounts with modern auth; secrets in auth profile.</t>
  </si>
  <si>
    <t xml:space="preserve">Accounts connect in all environments.</t>
  </si>
  <si>
    <t xml:space="preserve">S-07</t>
  </si>
  <si>
    <t xml:space="preserve">AF email channel and listener</t>
  </si>
  <si>
    <t xml:space="preserve">Email channel in CSAF; generated listener and service email; service package access group CSAF:Background.</t>
  </si>
  <si>
    <t xml:space="preserve">AF reply creates triage case in CSAF context with CoverholderCode AF.</t>
  </si>
  <si>
    <t xml:space="preserve">S-06, A-09, F-16</t>
  </si>
  <si>
    <t xml:space="preserve">S-08</t>
  </si>
  <si>
    <t xml:space="preserve">AF triage extension overrides</t>
  </si>
  <si>
    <t xml:space="preserve">Override triage _Ext rules in CSAF ruleset only where AF replies differ.</t>
  </si>
  <si>
    <t xml:space="preserve">AF replies classified, linked and parsed; Trinity unaffected.</t>
  </si>
  <si>
    <t xml:space="preserve">F-15, S-07</t>
  </si>
  <si>
    <t xml:space="preserve">S-09</t>
  </si>
  <si>
    <t xml:space="preserve">AF NLP / text analytics model</t>
  </si>
  <si>
    <t xml:space="preserve">Separate AF model only if AF reply format differs materially.</t>
  </si>
  <si>
    <t xml:space="preserve">Model accuracy on AF sample meets agreed threshold.</t>
  </si>
  <si>
    <t xml:space="preserve">S-10</t>
  </si>
  <si>
    <t xml:space="preserve">AF parsed-data mapping and validations</t>
  </si>
  <si>
    <t xml:space="preserve">AF overrides of MapParsedPolicyData_Ext and ApplyPolicyValidations_Ext.</t>
  </si>
  <si>
    <t xml:space="preserve">AF review tabs show correct data and AF validation outcomes.</t>
  </si>
  <si>
    <t xml:space="preserve">F-17, S-08</t>
  </si>
  <si>
    <t xml:space="preserve">S-11</t>
  </si>
  <si>
    <t xml:space="preserve">AF review view overrides</t>
  </si>
  <si>
    <t xml:space="preserve">View overrides only for AF-only fields.</t>
  </si>
  <si>
    <t xml:space="preserve">AF-only fields visible on review tabs.</t>
  </si>
  <si>
    <t xml:space="preserve">S-12</t>
  </si>
  <si>
    <t xml:space="preserve">AF queue processors and job schedulers</t>
  </si>
  <si>
    <t xml:space="preserve">AF instances with CSAF:Background, or verified case-resolved, per F-26.</t>
  </si>
  <si>
    <t xml:space="preserve">AF background items use AF templates, accounts and rules.</t>
  </si>
  <si>
    <t xml:space="preserve">F-26, A-09</t>
  </si>
  <si>
    <t xml:space="preserve">S-13</t>
  </si>
  <si>
    <t xml:space="preserve">AF Libra entity / book code</t>
  </si>
  <si>
    <t xml:space="preserve">Capture and display AF entity code if Libra requires it.</t>
  </si>
  <si>
    <t xml:space="preserve">Libra ID and entity stored on AF case.</t>
  </si>
  <si>
    <t xml:space="preserve">S-14</t>
  </si>
  <si>
    <t xml:space="preserve">AF reports and extracts</t>
  </si>
  <si>
    <t xml:space="preserve">AF report definitions; CoverholderCode in BIX / warehouse extracts.</t>
  </si>
  <si>
    <t xml:space="preserve">AF MI available; extracts split by coverholder.</t>
  </si>
  <si>
    <t xml:space="preserve">S-15</t>
  </si>
  <si>
    <t xml:space="preserve">AF search, retention and archiving</t>
  </si>
  <si>
    <t xml:space="preserve">Search config for AF classes; archive/purge policies for AF case and triage.</t>
  </si>
  <si>
    <t xml:space="preserve">Policies configured and tested in non-prod.</t>
  </si>
  <si>
    <t xml:space="preserve">T-01</t>
  </si>
  <si>
    <t xml:space="preserve">AF end-to-end scenario suite</t>
  </si>
  <si>
    <t xml:space="preserve">Submit, duplicate, emails, AI, validation reply, triage, Libra, resolve.</t>
  </si>
  <si>
    <t xml:space="preserve">All AF scenarios pass in staging.</t>
  </si>
  <si>
    <t xml:space="preserve">Phase 3</t>
  </si>
  <si>
    <t xml:space="preserve">T-02</t>
  </si>
  <si>
    <t xml:space="preserve">Isolation and security test pack</t>
  </si>
  <si>
    <t xml:space="preserve">Cross-coverholder access via UI, URL, DX API, search, reports, triage.</t>
  </si>
  <si>
    <t xml:space="preserve">No cross-coverholder access possible.</t>
  </si>
  <si>
    <t xml:space="preserve">A-09, A-10</t>
  </si>
  <si>
    <t xml:space="preserve">T-03</t>
  </si>
  <si>
    <t xml:space="preserve">Background-context tests</t>
  </si>
  <si>
    <t xml:space="preserve">Verify QPs, jobs and listener process AF items with AF rules.</t>
  </si>
  <si>
    <t xml:space="preserve">Log assertions confirm AF context for every background step.</t>
  </si>
  <si>
    <t xml:space="preserve">T-04</t>
  </si>
  <si>
    <t xml:space="preserve">Performance tests</t>
  </si>
  <si>
    <t xml:space="preserve">DX create + duplicate check at peak AF volume; AI queue throughput.</t>
  </si>
  <si>
    <t xml:space="preserve">Response times and throughput within agreed limits.</t>
  </si>
  <si>
    <t xml:space="preserve">T-05</t>
  </si>
  <si>
    <t xml:space="preserve">Security review of anonymous AF channel</t>
  </si>
  <si>
    <t xml:space="preserve">Pen test of CSAFWebExt and DX endpoints.</t>
  </si>
  <si>
    <t xml:space="preserve">No open high/critical findings.</t>
  </si>
  <si>
    <t xml:space="preserve">T-06</t>
  </si>
  <si>
    <t xml:space="preserve">Product rules and environment settings</t>
  </si>
  <si>
    <t xml:space="preserve">Product rules CS_Framework, CSAF, CSAFWebExt; env-specific values outside product rules.</t>
  </si>
  <si>
    <t xml:space="preserve">Clean import into a fresh environment.</t>
  </si>
  <si>
    <t xml:space="preserve">T-07</t>
  </si>
  <si>
    <t xml:space="preserve">Pipeline with dual regression</t>
  </si>
  <si>
    <t xml:space="preserve">CS change triggers Trinity and AF regression; deploy order enforced.</t>
  </si>
  <si>
    <t xml:space="preserve">Pipeline blocks CS merge without green dual regression.</t>
  </si>
  <si>
    <t xml:space="preserve">W-10, T-01</t>
  </si>
  <si>
    <t xml:space="preserve">T-08</t>
  </si>
  <si>
    <t xml:space="preserve">Production deployment and hypercare</t>
  </si>
  <si>
    <t xml:space="preserve">Deploy in order; smoke test both coverholders; hypercare.</t>
  </si>
  <si>
    <t xml:space="preserve">Both coverholders live and stable for the hypercare period.</t>
  </si>
  <si>
    <t xml:space="preserve">All</t>
  </si>
  <si>
    <t xml:space="preserve">16</t>
  </si>
  <si>
    <t xml:space="preserve">T-01 to T-07</t>
  </si>
  <si>
    <t xml:space="preserve">R-01</t>
  </si>
  <si>
    <t xml:space="preserve">Create CSTR application for Trinity</t>
  </si>
  <si>
    <t xml:space="preserve">CSTR built on CS; repoint Trinity access groups, Okta mapping and web app built-on.</t>
  </si>
  <si>
    <t xml:space="preserve">Trinity behaviour unchanged; users run in CSTR context.</t>
  </si>
  <si>
    <t xml:space="preserve">CSTR</t>
  </si>
  <si>
    <t xml:space="preserve">18</t>
  </si>
  <si>
    <t xml:space="preserve">R-02</t>
  </si>
  <si>
    <t xml:space="preserve">Move Trinity config and neutral framework default</t>
  </si>
  <si>
    <t xml:space="preserve">TRI config row and Trinity LoadAppContext to CSTR; CS default raises clear error.</t>
  </si>
  <si>
    <t xml:space="preserve">Missing override fails fast in CSTEST; Trinity unchanged.</t>
  </si>
  <si>
    <t xml:space="preserve">CSTR / CS</t>
  </si>
  <si>
    <t xml:space="preserve">R-03</t>
  </si>
  <si>
    <t xml:space="preserve">Move Trinity _Ext defaults to CSTR (per capability)</t>
  </si>
  <si>
    <t xml:space="preserve">Save Trinity _Ext versions into CSTR ruleset; replace CS defaults with neutral ones. Split into one story per capability when planned.</t>
  </si>
  <si>
    <t xml:space="preserve">Per capability: Trinity regression green; CS default neutral.</t>
  </si>
  <si>
    <t xml:space="preserve">R-04</t>
  </si>
  <si>
    <t xml:space="preserve">Move Trinity channel and background context</t>
  </si>
  <si>
    <t xml:space="preserve">Trinity email channel service package to CSTR:Background; Trinity QPs and jobs to CSTR access groups.</t>
  </si>
  <si>
    <t xml:space="preserve">Trinity background items run in CSTR context.</t>
  </si>
  <si>
    <t xml:space="preserve">R-05</t>
  </si>
  <si>
    <t xml:space="preserve">Trinity web app on CSTR</t>
  </si>
  <si>
    <t xml:space="preserve">Create CSTRWebExt or rebuild CSWebExt on CSTR with Trinity bundle, guest and OAuth client.</t>
  </si>
  <si>
    <t xml:space="preserve">Trinity web form works unchanged from the new app.</t>
  </si>
  <si>
    <t xml:space="preserve">CSTRWebExt</t>
  </si>
  <si>
    <t xml:space="preserve">R-06</t>
  </si>
  <si>
    <t xml:space="preserve">Rename Trinity-flavoured rules and properties</t>
  </si>
  <si>
    <t xml:space="preserve">Generic rule names, repoint callers, withdraw old; property strategy without in-place renames.</t>
  </si>
  <si>
    <t xml:space="preserve">No coverholder names in CS rule names; no broken references.</t>
  </si>
  <si>
    <t xml:space="preserve">R-07</t>
  </si>
  <si>
    <t xml:space="preserve">Trinity LOV data class</t>
  </si>
  <si>
    <t xml:space="preserve">HCC-CSTR-Data-LOV with own table; move Trinity values.</t>
  </si>
  <si>
    <t xml:space="preserve">Trinity dropdowns served from CSTR class.</t>
  </si>
  <si>
    <t xml:space="preserve">R-08</t>
  </si>
  <si>
    <t xml:space="preserve">CSTEST neutral test implementation</t>
  </si>
  <si>
    <t xml:space="preserve">Test app on CS with neutral coverholder; framework scenario tests.</t>
  </si>
  <si>
    <t xml:space="preserve">Framework scenarios pass without Trinity or AF rules.</t>
  </si>
  <si>
    <t xml:space="preserve">CSTEST</t>
  </si>
  <si>
    <t xml:space="preserve">R-09</t>
  </si>
  <si>
    <t xml:space="preserve">Framework governance model</t>
  </si>
  <si>
    <t xml:space="preserve">Versioning, change requests with impact assessment, design authority, extension contract and deprecation policy.</t>
  </si>
  <si>
    <t xml:space="preserve">Process approved and published.</t>
  </si>
  <si>
    <t xml:space="preserve">R-10</t>
  </si>
  <si>
    <t xml:space="preserve">Automated framework checks</t>
  </si>
  <si>
    <t xml:space="preserve">Pipeline checks: literal scan on CS, guardrail threshold, catalogue entry for new extension points.</t>
  </si>
  <si>
    <t xml:space="preserve">Pipeline fails on violations.</t>
  </si>
  <si>
    <t xml:space="preserve">R-11</t>
  </si>
  <si>
    <t xml:space="preserve">Optional: new Trinity case class</t>
  </si>
  <si>
    <t xml:space="preserve">HCC-CSTR-Work-FNOL for new Trinity cases from cutover; keep TRI- prefix and sequence; drain plan.</t>
  </si>
  <si>
    <t xml:space="preserve">New cases in new class; in-flight cases complete; reports span both.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</si>
</sst>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45" hidden="false" customHeight="false" outlineLevel="0" collapsed="false">
      <c r="A4" s="3" t="s">
        <v>2</v>
      </c>
      <c r="B4" s="4" t="n">
        <v>30</v>
      </c>
      <c r="C4" s="5" t="s">
        <v>3</v>
      </c>
    </row>
    <row r="6" customFormat="false" ht="23.8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customFormat="false" ht="15" hidden="false" customHeight="false" outlineLevel="0" collapsed="false">
      <c r="A7" s="5" t="s">
        <v>9</v>
      </c>
      <c r="B7" s="5" t="n">
        <f aca="false">COUNTIF(Backlog!$B$2:$B$84,A7)</f>
        <v>26</v>
      </c>
      <c r="C7" s="5" t="n">
        <f aca="false">SUMIFS(Backlog!$J$2:$J$84,Backlog!$B$2:$B$84,A7)</f>
        <v>98</v>
      </c>
      <c r="D7" s="5" t="n">
        <f aca="false">SUMIFS(Backlog!$J$2:$J$84,Backlog!$B$2:$B$84,A7,Backlog!$N$2:$N$84,"Done")</f>
        <v>0</v>
      </c>
      <c r="E7" s="7" t="n">
        <f aca="false">IF($B$4&gt;0,C7/$B$4,0)</f>
        <v>3.26666666666667</v>
      </c>
    </row>
    <row r="8" customFormat="false" ht="15" hidden="false" customHeight="false" outlineLevel="0" collapsed="false">
      <c r="A8" s="5" t="s">
        <v>10</v>
      </c>
      <c r="B8" s="5" t="n">
        <f aca="false">COUNTIF(Backlog!$B$2:$B$84,A8)</f>
        <v>13</v>
      </c>
      <c r="C8" s="5" t="n">
        <f aca="false">SUMIFS(Backlog!$J$2:$J$84,Backlog!$B$2:$B$84,A8)</f>
        <v>34</v>
      </c>
      <c r="D8" s="5" t="n">
        <f aca="false">SUMIFS(Backlog!$J$2:$J$84,Backlog!$B$2:$B$84,A8,Backlog!$N$2:$N$84,"Done")</f>
        <v>0</v>
      </c>
      <c r="E8" s="7" t="n">
        <f aca="false">IF($B$4&gt;0,C8/$B$4,0)</f>
        <v>1.13333333333333</v>
      </c>
    </row>
    <row r="9" customFormat="false" ht="15" hidden="false" customHeight="false" outlineLevel="0" collapsed="false">
      <c r="A9" s="5" t="s">
        <v>11</v>
      </c>
      <c r="B9" s="5" t="n">
        <f aca="false">COUNTIF(Backlog!$B$2:$B$84,A9)</f>
        <v>10</v>
      </c>
      <c r="C9" s="5" t="n">
        <f aca="false">SUMIFS(Backlog!$J$2:$J$84,Backlog!$B$2:$B$84,A9)</f>
        <v>30</v>
      </c>
      <c r="D9" s="5" t="n">
        <f aca="false">SUMIFS(Backlog!$J$2:$J$84,Backlog!$B$2:$B$84,A9,Backlog!$N$2:$N$84,"Done")</f>
        <v>0</v>
      </c>
      <c r="E9" s="7" t="n">
        <f aca="false">IF($B$4&gt;0,C9/$B$4,0)</f>
        <v>1</v>
      </c>
    </row>
    <row r="10" customFormat="false" ht="15" hidden="false" customHeight="false" outlineLevel="0" collapsed="false">
      <c r="A10" s="5" t="s">
        <v>12</v>
      </c>
      <c r="B10" s="5" t="n">
        <f aca="false">COUNTIF(Backlog!$B$2:$B$84,A10)</f>
        <v>15</v>
      </c>
      <c r="C10" s="5" t="n">
        <f aca="false">SUMIFS(Backlog!$J$2:$J$84,Backlog!$B$2:$B$84,A10)</f>
        <v>50</v>
      </c>
      <c r="D10" s="5" t="n">
        <f aca="false">SUMIFS(Backlog!$J$2:$J$84,Backlog!$B$2:$B$84,A10,Backlog!$N$2:$N$84,"Done")</f>
        <v>0</v>
      </c>
      <c r="E10" s="7" t="n">
        <f aca="false">IF($B$4&gt;0,C10/$B$4,0)</f>
        <v>1.66666666666667</v>
      </c>
    </row>
    <row r="11" customFormat="false" ht="15" hidden="false" customHeight="false" outlineLevel="0" collapsed="false">
      <c r="A11" s="5" t="s">
        <v>13</v>
      </c>
      <c r="B11" s="5" t="n">
        <f aca="false">COUNTIF(Backlog!$B$2:$B$84,A11)</f>
        <v>8</v>
      </c>
      <c r="C11" s="5" t="n">
        <f aca="false">SUMIFS(Backlog!$J$2:$J$84,Backlog!$B$2:$B$84,A11)</f>
        <v>29</v>
      </c>
      <c r="D11" s="5" t="n">
        <f aca="false">SUMIFS(Backlog!$J$2:$J$84,Backlog!$B$2:$B$84,A11,Backlog!$N$2:$N$84,"Done")</f>
        <v>0</v>
      </c>
      <c r="E11" s="7" t="n">
        <f aca="false">IF($B$4&gt;0,C11/$B$4,0)</f>
        <v>0.966666666666667</v>
      </c>
    </row>
    <row r="12" customFormat="false" ht="15" hidden="false" customHeight="false" outlineLevel="0" collapsed="false">
      <c r="A12" s="5" t="s">
        <v>14</v>
      </c>
      <c r="B12" s="5" t="n">
        <f aca="false">COUNTIF(Backlog!$B$2:$B$84,A12)</f>
        <v>11</v>
      </c>
      <c r="C12" s="5" t="n">
        <f aca="false">SUMIFS(Backlog!$J$2:$J$84,Backlog!$B$2:$B$84,A12)</f>
        <v>51</v>
      </c>
      <c r="D12" s="5" t="n">
        <f aca="false">SUMIFS(Backlog!$J$2:$J$84,Backlog!$B$2:$B$84,A12,Backlog!$N$2:$N$84,"Done")</f>
        <v>0</v>
      </c>
      <c r="E12" s="7" t="n">
        <f aca="false">IF($B$4&gt;0,C12/$B$4,0)</f>
        <v>1.7</v>
      </c>
    </row>
    <row r="13" customFormat="false" ht="15" hidden="false" customHeight="false" outlineLevel="0" collapsed="false">
      <c r="A13" s="3" t="s">
        <v>15</v>
      </c>
      <c r="B13" s="3" t="n">
        <f aca="false">SUM(B7:B12)</f>
        <v>83</v>
      </c>
      <c r="C13" s="3" t="n">
        <f aca="false">SUM(C7:C12)</f>
        <v>292</v>
      </c>
      <c r="D13" s="3" t="n">
        <f aca="false">SUM(D7:D12)</f>
        <v>0</v>
      </c>
      <c r="E13" s="8" t="n">
        <f aca="false">SUM(E7:E12)</f>
        <v>9.73333333333333</v>
      </c>
    </row>
    <row r="15" customFormat="false" ht="23.85" hidden="false" customHeight="false" outlineLevel="0" collapsed="false">
      <c r="A15" s="6" t="s">
        <v>16</v>
      </c>
      <c r="B15" s="6" t="s">
        <v>5</v>
      </c>
      <c r="C15" s="6" t="s">
        <v>6</v>
      </c>
      <c r="D15" s="6" t="s">
        <v>7</v>
      </c>
      <c r="E15" s="6" t="s">
        <v>8</v>
      </c>
    </row>
    <row r="16" customFormat="false" ht="15" hidden="false" customHeight="false" outlineLevel="0" collapsed="false">
      <c r="A16" s="5" t="s">
        <v>17</v>
      </c>
      <c r="B16" s="5" t="n">
        <f aca="false">COUNTIF(Backlog!$L$2:$L$84,A16)</f>
        <v>59</v>
      </c>
      <c r="C16" s="5" t="n">
        <f aca="false">SUMIFS(Backlog!$J$2:$J$84,Backlog!$L$2:$L$84,A16)</f>
        <v>205</v>
      </c>
      <c r="D16" s="5" t="n">
        <f aca="false">SUMIFS(Backlog!$J$2:$J$84,Backlog!$L$2:$L$84,A16,Backlog!$N$2:$N$84,"Done")</f>
        <v>0</v>
      </c>
      <c r="E16" s="7" t="n">
        <f aca="false">IF($B$4&gt;0,C16/$B$4,0)</f>
        <v>6.83333333333333</v>
      </c>
    </row>
    <row r="17" customFormat="false" ht="15" hidden="false" customHeight="false" outlineLevel="0" collapsed="false">
      <c r="A17" s="5" t="s">
        <v>18</v>
      </c>
      <c r="B17" s="5" t="n">
        <f aca="false">COUNTIF(Backlog!$L$2:$L$84,A17)</f>
        <v>14</v>
      </c>
      <c r="C17" s="5" t="n">
        <f aca="false">SUMIFS(Backlog!$J$2:$J$84,Backlog!$L$2:$L$84,A17)</f>
        <v>39</v>
      </c>
      <c r="D17" s="5" t="n">
        <f aca="false">SUMIFS(Backlog!$J$2:$J$84,Backlog!$L$2:$L$84,A17,Backlog!$N$2:$N$84,"Done")</f>
        <v>0</v>
      </c>
      <c r="E17" s="7" t="n">
        <f aca="false">IF($B$4&gt;0,C17/$B$4,0)</f>
        <v>1.3</v>
      </c>
    </row>
    <row r="18" customFormat="false" ht="15" hidden="false" customHeight="false" outlineLevel="0" collapsed="false">
      <c r="A18" s="5" t="s">
        <v>19</v>
      </c>
      <c r="B18" s="5" t="n">
        <f aca="false">COUNTIF(Backlog!$L$2:$L$84,A18)</f>
        <v>10</v>
      </c>
      <c r="C18" s="5" t="n">
        <f aca="false">SUMIFS(Backlog!$J$2:$J$84,Backlog!$L$2:$L$84,A18)</f>
        <v>48</v>
      </c>
      <c r="D18" s="5" t="n">
        <f aca="false">SUMIFS(Backlog!$J$2:$J$84,Backlog!$L$2:$L$84,A18,Backlog!$N$2:$N$84,"Done")</f>
        <v>0</v>
      </c>
      <c r="E18" s="7" t="n">
        <f aca="false">IF($B$4&gt;0,C18/$B$4,0)</f>
        <v>1.6</v>
      </c>
    </row>
    <row r="19" customFormat="false" ht="15" hidden="false" customHeight="false" outlineLevel="0" collapsed="false">
      <c r="A19" s="3" t="s">
        <v>15</v>
      </c>
      <c r="B19" s="3" t="n">
        <f aca="false">SUM(B16:B18)</f>
        <v>83</v>
      </c>
      <c r="C19" s="3" t="n">
        <f aca="false">SUM(C16:C18)</f>
        <v>292</v>
      </c>
      <c r="D19" s="3" t="n">
        <f aca="false">SUM(D16:D18)</f>
        <v>0</v>
      </c>
      <c r="E19" s="8" t="n">
        <f aca="false">SUM(E16:E18)</f>
        <v>9.73333333333333</v>
      </c>
    </row>
    <row r="21" customFormat="false" ht="23.85" hidden="false" customHeight="false" outlineLevel="0" collapsed="false">
      <c r="A21" s="6" t="s">
        <v>20</v>
      </c>
      <c r="B21" s="6" t="s">
        <v>5</v>
      </c>
      <c r="C21" s="6" t="s">
        <v>6</v>
      </c>
      <c r="D21" s="6" t="s">
        <v>7</v>
      </c>
      <c r="E21" s="6" t="s">
        <v>8</v>
      </c>
    </row>
    <row r="22" customFormat="false" ht="15" hidden="false" customHeight="false" outlineLevel="0" collapsed="false">
      <c r="A22" s="5" t="s">
        <v>21</v>
      </c>
      <c r="B22" s="5" t="n">
        <f aca="false">COUNTIF(Backlog!$K$2:$K$84,A22)</f>
        <v>23</v>
      </c>
      <c r="C22" s="5" t="n">
        <f aca="false">SUMIFS(Backlog!$J$2:$J$84,Backlog!$K$2:$K$84,A22)</f>
        <v>129</v>
      </c>
      <c r="D22" s="5" t="n">
        <f aca="false">SUMIFS(Backlog!$J$2:$J$84,Backlog!$K$2:$K$84,A22,Backlog!$N$2:$N$84,"Done")</f>
        <v>0</v>
      </c>
      <c r="E22" s="7" t="n">
        <f aca="false">IF($B$4&gt;0,C22/$B$4,0)</f>
        <v>4.3</v>
      </c>
    </row>
    <row r="23" customFormat="false" ht="15" hidden="false" customHeight="false" outlineLevel="0" collapsed="false">
      <c r="A23" s="5" t="s">
        <v>22</v>
      </c>
      <c r="B23" s="5" t="n">
        <f aca="false">COUNTIF(Backlog!$K$2:$K$84,A23)</f>
        <v>36</v>
      </c>
      <c r="C23" s="5" t="n">
        <f aca="false">SUMIFS(Backlog!$J$2:$J$84,Backlog!$K$2:$K$84,A23)</f>
        <v>111</v>
      </c>
      <c r="D23" s="5" t="n">
        <f aca="false">SUMIFS(Backlog!$J$2:$J$84,Backlog!$K$2:$K$84,A23,Backlog!$N$2:$N$84,"Done")</f>
        <v>0</v>
      </c>
      <c r="E23" s="7" t="n">
        <f aca="false">IF($B$4&gt;0,C23/$B$4,0)</f>
        <v>3.7</v>
      </c>
    </row>
    <row r="24" customFormat="false" ht="15" hidden="false" customHeight="false" outlineLevel="0" collapsed="false">
      <c r="A24" s="5" t="s">
        <v>23</v>
      </c>
      <c r="B24" s="5" t="n">
        <f aca="false">COUNTIF(Backlog!$K$2:$K$84,A24)</f>
        <v>24</v>
      </c>
      <c r="C24" s="5" t="n">
        <f aca="false">SUMIFS(Backlog!$J$2:$J$84,Backlog!$K$2:$K$84,A24)</f>
        <v>52</v>
      </c>
      <c r="D24" s="5" t="n">
        <f aca="false">SUMIFS(Backlog!$J$2:$J$84,Backlog!$K$2:$K$84,A24,Backlog!$N$2:$N$84,"Done")</f>
        <v>0</v>
      </c>
      <c r="E24" s="7" t="n">
        <f aca="false">IF($B$4&gt;0,C24/$B$4,0)</f>
        <v>1.73333333333333</v>
      </c>
    </row>
    <row r="25" customFormat="false" ht="15" hidden="false" customHeight="false" outlineLevel="0" collapsed="false">
      <c r="A25" s="3" t="s">
        <v>15</v>
      </c>
      <c r="B25" s="3" t="n">
        <f aca="false">SUM(B22:B24)</f>
        <v>83</v>
      </c>
      <c r="C25" s="3" t="n">
        <f aca="false">SUM(C22:C24)</f>
        <v>292</v>
      </c>
      <c r="D25" s="3" t="n">
        <f aca="false">SUM(D22:D24)</f>
        <v>0</v>
      </c>
      <c r="E25" s="8" t="n">
        <f aca="false">SUM(E22:E24)</f>
        <v>9.73333333333333</v>
      </c>
    </row>
    <row r="27" customFormat="false" ht="23.85" hidden="false" customHeight="false" outlineLevel="0" collapsed="false">
      <c r="A27" s="6" t="s">
        <v>24</v>
      </c>
      <c r="B27" s="6" t="s">
        <v>5</v>
      </c>
      <c r="C27" s="6" t="s">
        <v>6</v>
      </c>
      <c r="D27" s="6" t="s">
        <v>7</v>
      </c>
      <c r="E27" s="6" t="s">
        <v>8</v>
      </c>
    </row>
    <row r="28" customFormat="false" ht="15" hidden="false" customHeight="false" outlineLevel="0" collapsed="false">
      <c r="A28" s="5" t="s">
        <v>25</v>
      </c>
      <c r="B28" s="5" t="n">
        <f aca="false">COUNTIF(Backlog!$I$2:$I$84,A28)</f>
        <v>27</v>
      </c>
      <c r="C28" s="5" t="n">
        <f aca="false">SUMIFS(Backlog!$J$2:$J$84,Backlog!$I$2:$I$84,A28)</f>
        <v>54</v>
      </c>
      <c r="D28" s="5" t="n">
        <f aca="false">SUMIFS(Backlog!$J$2:$J$84,Backlog!$I$2:$I$84,A28,Backlog!$N$2:$N$84,"Done")</f>
        <v>0</v>
      </c>
      <c r="E28" s="7" t="n">
        <f aca="false">IF($B$4&gt;0,C28/$B$4,0)</f>
        <v>1.8</v>
      </c>
    </row>
    <row r="29" customFormat="false" ht="15" hidden="false" customHeight="false" outlineLevel="0" collapsed="false">
      <c r="A29" s="5" t="s">
        <v>26</v>
      </c>
      <c r="B29" s="5" t="n">
        <f aca="false">COUNTIF(Backlog!$I$2:$I$84,A29)</f>
        <v>42</v>
      </c>
      <c r="C29" s="5" t="n">
        <f aca="false">SUMIFS(Backlog!$J$2:$J$84,Backlog!$I$2:$I$84,A29)</f>
        <v>126</v>
      </c>
      <c r="D29" s="5" t="n">
        <f aca="false">SUMIFS(Backlog!$J$2:$J$84,Backlog!$I$2:$I$84,A29,Backlog!$N$2:$N$84,"Done")</f>
        <v>0</v>
      </c>
      <c r="E29" s="7" t="n">
        <f aca="false">IF($B$4&gt;0,C29/$B$4,0)</f>
        <v>4.2</v>
      </c>
    </row>
    <row r="30" customFormat="false" ht="15" hidden="false" customHeight="false" outlineLevel="0" collapsed="false">
      <c r="A30" s="5" t="s">
        <v>27</v>
      </c>
      <c r="B30" s="5" t="n">
        <f aca="false">COUNTIF(Backlog!$I$2:$I$84,A30)</f>
        <v>14</v>
      </c>
      <c r="C30" s="5" t="n">
        <f aca="false">SUMIFS(Backlog!$J$2:$J$84,Backlog!$I$2:$I$84,A30)</f>
        <v>112</v>
      </c>
      <c r="D30" s="5" t="n">
        <f aca="false">SUMIFS(Backlog!$J$2:$J$84,Backlog!$I$2:$I$84,A30,Backlog!$N$2:$N$84,"Done")</f>
        <v>0</v>
      </c>
      <c r="E30" s="7" t="n">
        <f aca="false">IF($B$4&gt;0,C30/$B$4,0)</f>
        <v>3.73333333333333</v>
      </c>
    </row>
    <row r="31" customFormat="false" ht="15" hidden="false" customHeight="false" outlineLevel="0" collapsed="false">
      <c r="A31" s="3" t="s">
        <v>15</v>
      </c>
      <c r="B31" s="3" t="n">
        <f aca="false">SUM(B28:B30)</f>
        <v>83</v>
      </c>
      <c r="C31" s="3" t="n">
        <f aca="false">SUM(C28:C30)</f>
        <v>292</v>
      </c>
      <c r="D31" s="3" t="n">
        <f aca="false">SUM(D28:D30)</f>
        <v>0</v>
      </c>
      <c r="E31" s="8" t="n">
        <f aca="false">SUM(E28:E30)</f>
        <v>9.73333333333333</v>
      </c>
    </row>
    <row r="33" customFormat="false" ht="23.85" hidden="false" customHeight="false" outlineLevel="0" collapsed="false">
      <c r="A33" s="6" t="s">
        <v>28</v>
      </c>
      <c r="B33" s="6" t="s">
        <v>5</v>
      </c>
      <c r="C33" s="6" t="s">
        <v>6</v>
      </c>
      <c r="D33" s="6" t="s">
        <v>7</v>
      </c>
      <c r="E33" s="6" t="s">
        <v>8</v>
      </c>
    </row>
    <row r="34" customFormat="false" ht="15" hidden="false" customHeight="false" outlineLevel="0" collapsed="false">
      <c r="A34" s="5" t="s">
        <v>29</v>
      </c>
      <c r="B34" s="5" t="n">
        <f aca="false">COUNTIF(Backlog!$C$2:$C$84,A34)</f>
        <v>3</v>
      </c>
      <c r="C34" s="5" t="n">
        <f aca="false">SUMIFS(Backlog!$J$2:$J$84,Backlog!$C$2:$C$84,A34)</f>
        <v>13</v>
      </c>
      <c r="D34" s="5" t="n">
        <f aca="false">SUMIFS(Backlog!$J$2:$J$84,Backlog!$C$2:$C$84,A34,Backlog!$N$2:$N$84,"Done")</f>
        <v>0</v>
      </c>
      <c r="E34" s="7" t="n">
        <f aca="false">IF($B$4&gt;0,C34/$B$4,0)</f>
        <v>0.433333333333333</v>
      </c>
    </row>
    <row r="35" customFormat="false" ht="15" hidden="false" customHeight="false" outlineLevel="0" collapsed="false">
      <c r="A35" s="5" t="s">
        <v>30</v>
      </c>
      <c r="B35" s="5" t="n">
        <f aca="false">COUNTIF(Backlog!$C$2:$C$84,A35)</f>
        <v>2</v>
      </c>
      <c r="C35" s="5" t="n">
        <f aca="false">SUMIFS(Backlog!$J$2:$J$84,Backlog!$C$2:$C$84,A35)</f>
        <v>16</v>
      </c>
      <c r="D35" s="5" t="n">
        <f aca="false">SUMIFS(Backlog!$J$2:$J$84,Backlog!$C$2:$C$84,A35,Backlog!$N$2:$N$84,"Done")</f>
        <v>0</v>
      </c>
      <c r="E35" s="7" t="n">
        <f aca="false">IF($B$4&gt;0,C35/$B$4,0)</f>
        <v>0.533333333333333</v>
      </c>
    </row>
    <row r="36" customFormat="false" ht="15" hidden="false" customHeight="false" outlineLevel="0" collapsed="false">
      <c r="A36" s="5" t="s">
        <v>31</v>
      </c>
      <c r="B36" s="5" t="n">
        <f aca="false">COUNTIF(Backlog!$C$2:$C$84,A36)</f>
        <v>1</v>
      </c>
      <c r="C36" s="5" t="n">
        <f aca="false">SUMIFS(Backlog!$J$2:$J$84,Backlog!$C$2:$C$84,A36)</f>
        <v>3</v>
      </c>
      <c r="D36" s="5" t="n">
        <f aca="false">SUMIFS(Backlog!$J$2:$J$84,Backlog!$C$2:$C$84,A36,Backlog!$N$2:$N$84,"Done")</f>
        <v>0</v>
      </c>
      <c r="E36" s="7" t="n">
        <f aca="false">IF($B$4&gt;0,C36/$B$4,0)</f>
        <v>0.1</v>
      </c>
    </row>
    <row r="37" customFormat="false" ht="15" hidden="false" customHeight="false" outlineLevel="0" collapsed="false">
      <c r="A37" s="5" t="s">
        <v>32</v>
      </c>
      <c r="B37" s="5" t="n">
        <f aca="false">COUNTIF(Backlog!$C$2:$C$84,A37)</f>
        <v>1</v>
      </c>
      <c r="C37" s="5" t="n">
        <f aca="false">SUMIFS(Backlog!$J$2:$J$84,Backlog!$C$2:$C$84,A37)</f>
        <v>3</v>
      </c>
      <c r="D37" s="5" t="n">
        <f aca="false">SUMIFS(Backlog!$J$2:$J$84,Backlog!$C$2:$C$84,A37,Backlog!$N$2:$N$84,"Done")</f>
        <v>0</v>
      </c>
      <c r="E37" s="7" t="n">
        <f aca="false">IF($B$4&gt;0,C37/$B$4,0)</f>
        <v>0.1</v>
      </c>
    </row>
    <row r="38" customFormat="false" ht="15" hidden="false" customHeight="false" outlineLevel="0" collapsed="false">
      <c r="A38" s="5" t="s">
        <v>33</v>
      </c>
      <c r="B38" s="5" t="n">
        <f aca="false">COUNTIF(Backlog!$C$2:$C$84,A38)</f>
        <v>5</v>
      </c>
      <c r="C38" s="5" t="n">
        <f aca="false">SUMIFS(Backlog!$J$2:$J$84,Backlog!$C$2:$C$84,A38)</f>
        <v>13</v>
      </c>
      <c r="D38" s="5" t="n">
        <f aca="false">SUMIFS(Backlog!$J$2:$J$84,Backlog!$C$2:$C$84,A38,Backlog!$N$2:$N$84,"Done")</f>
        <v>0</v>
      </c>
      <c r="E38" s="7" t="n">
        <f aca="false">IF($B$4&gt;0,C38/$B$4,0)</f>
        <v>0.433333333333333</v>
      </c>
    </row>
    <row r="39" customFormat="false" ht="15" hidden="false" customHeight="false" outlineLevel="0" collapsed="false">
      <c r="A39" s="5" t="s">
        <v>34</v>
      </c>
      <c r="B39" s="5" t="n">
        <f aca="false">COUNTIF(Backlog!$C$2:$C$84,A39)</f>
        <v>2</v>
      </c>
      <c r="C39" s="5" t="n">
        <f aca="false">SUMIFS(Backlog!$J$2:$J$84,Backlog!$C$2:$C$84,A39)</f>
        <v>6</v>
      </c>
      <c r="D39" s="5" t="n">
        <f aca="false">SUMIFS(Backlog!$J$2:$J$84,Backlog!$C$2:$C$84,A39,Backlog!$N$2:$N$84,"Done")</f>
        <v>0</v>
      </c>
      <c r="E39" s="7" t="n">
        <f aca="false">IF($B$4&gt;0,C39/$B$4,0)</f>
        <v>0.2</v>
      </c>
    </row>
    <row r="40" customFormat="false" ht="15" hidden="false" customHeight="false" outlineLevel="0" collapsed="false">
      <c r="A40" s="5" t="s">
        <v>35</v>
      </c>
      <c r="B40" s="5" t="n">
        <f aca="false">COUNTIF(Backlog!$C$2:$C$84,A40)</f>
        <v>6</v>
      </c>
      <c r="C40" s="5" t="n">
        <f aca="false">SUMIFS(Backlog!$J$2:$J$84,Backlog!$C$2:$C$84,A40)</f>
        <v>21</v>
      </c>
      <c r="D40" s="5" t="n">
        <f aca="false">SUMIFS(Backlog!$J$2:$J$84,Backlog!$C$2:$C$84,A40,Backlog!$N$2:$N$84,"Done")</f>
        <v>0</v>
      </c>
      <c r="E40" s="7" t="n">
        <f aca="false">IF($B$4&gt;0,C40/$B$4,0)</f>
        <v>0.7</v>
      </c>
    </row>
    <row r="41" customFormat="false" ht="15" hidden="false" customHeight="false" outlineLevel="0" collapsed="false">
      <c r="A41" s="5" t="s">
        <v>36</v>
      </c>
      <c r="B41" s="5" t="n">
        <f aca="false">COUNTIF(Backlog!$C$2:$C$84,A41)</f>
        <v>4</v>
      </c>
      <c r="C41" s="5" t="n">
        <f aca="false">SUMIFS(Backlog!$J$2:$J$84,Backlog!$C$2:$C$84,A41)</f>
        <v>9</v>
      </c>
      <c r="D41" s="5" t="n">
        <f aca="false">SUMIFS(Backlog!$J$2:$J$84,Backlog!$C$2:$C$84,A41,Backlog!$N$2:$N$84,"Done")</f>
        <v>0</v>
      </c>
      <c r="E41" s="7" t="n">
        <f aca="false">IF($B$4&gt;0,C41/$B$4,0)</f>
        <v>0.3</v>
      </c>
    </row>
    <row r="42" customFormat="false" ht="15" hidden="false" customHeight="false" outlineLevel="0" collapsed="false">
      <c r="A42" s="5" t="s">
        <v>37</v>
      </c>
      <c r="B42" s="5" t="n">
        <f aca="false">COUNTIF(Backlog!$C$2:$C$84,A42)</f>
        <v>2</v>
      </c>
      <c r="C42" s="5" t="n">
        <f aca="false">SUMIFS(Backlog!$J$2:$J$84,Backlog!$C$2:$C$84,A42)</f>
        <v>5</v>
      </c>
      <c r="D42" s="5" t="n">
        <f aca="false">SUMIFS(Backlog!$J$2:$J$84,Backlog!$C$2:$C$84,A42,Backlog!$N$2:$N$84,"Done")</f>
        <v>0</v>
      </c>
      <c r="E42" s="7" t="n">
        <f aca="false">IF($B$4&gt;0,C42/$B$4,0)</f>
        <v>0.166666666666667</v>
      </c>
    </row>
    <row r="43" customFormat="false" ht="15" hidden="false" customHeight="false" outlineLevel="0" collapsed="false">
      <c r="A43" s="5" t="s">
        <v>38</v>
      </c>
      <c r="B43" s="5" t="n">
        <f aca="false">COUNTIF(Backlog!$C$2:$C$84,A43)</f>
        <v>2</v>
      </c>
      <c r="C43" s="5" t="n">
        <f aca="false">SUMIFS(Backlog!$J$2:$J$84,Backlog!$C$2:$C$84,A43)</f>
        <v>6</v>
      </c>
      <c r="D43" s="5" t="n">
        <f aca="false">SUMIFS(Backlog!$J$2:$J$84,Backlog!$C$2:$C$84,A43,Backlog!$N$2:$N$84,"Done")</f>
        <v>0</v>
      </c>
      <c r="E43" s="7" t="n">
        <f aca="false">IF($B$4&gt;0,C43/$B$4,0)</f>
        <v>0.2</v>
      </c>
    </row>
    <row r="44" customFormat="false" ht="15" hidden="false" customHeight="false" outlineLevel="0" collapsed="false">
      <c r="A44" s="5" t="s">
        <v>39</v>
      </c>
      <c r="B44" s="5" t="n">
        <f aca="false">COUNTIF(Backlog!$C$2:$C$84,A44)</f>
        <v>1</v>
      </c>
      <c r="C44" s="5" t="n">
        <f aca="false">SUMIFS(Backlog!$J$2:$J$84,Backlog!$C$2:$C$84,A44)</f>
        <v>3</v>
      </c>
      <c r="D44" s="5" t="n">
        <f aca="false">SUMIFS(Backlog!$J$2:$J$84,Backlog!$C$2:$C$84,A44,Backlog!$N$2:$N$84,"Done")</f>
        <v>0</v>
      </c>
      <c r="E44" s="7" t="n">
        <f aca="false">IF($B$4&gt;0,C44/$B$4,0)</f>
        <v>0.1</v>
      </c>
    </row>
    <row r="45" customFormat="false" ht="15" hidden="false" customHeight="false" outlineLevel="0" collapsed="false">
      <c r="A45" s="5" t="s">
        <v>40</v>
      </c>
      <c r="B45" s="5" t="n">
        <f aca="false">COUNTIF(Backlog!$C$2:$C$84,A45)</f>
        <v>1</v>
      </c>
      <c r="C45" s="5" t="n">
        <f aca="false">SUMIFS(Backlog!$J$2:$J$84,Backlog!$C$2:$C$84,A45)</f>
        <v>3</v>
      </c>
      <c r="D45" s="5" t="n">
        <f aca="false">SUMIFS(Backlog!$J$2:$J$84,Backlog!$C$2:$C$84,A45,Backlog!$N$2:$N$84,"Done")</f>
        <v>0</v>
      </c>
      <c r="E45" s="7" t="n">
        <f aca="false">IF($B$4&gt;0,C45/$B$4,0)</f>
        <v>0.1</v>
      </c>
    </row>
    <row r="46" customFormat="false" ht="15" hidden="false" customHeight="false" outlineLevel="0" collapsed="false">
      <c r="A46" s="5" t="s">
        <v>41</v>
      </c>
      <c r="B46" s="5" t="n">
        <f aca="false">COUNTIF(Backlog!$C$2:$C$84,A46)</f>
        <v>7</v>
      </c>
      <c r="C46" s="5" t="n">
        <f aca="false">SUMIFS(Backlog!$J$2:$J$84,Backlog!$C$2:$C$84,A46)</f>
        <v>25</v>
      </c>
      <c r="D46" s="5" t="n">
        <f aca="false">SUMIFS(Backlog!$J$2:$J$84,Backlog!$C$2:$C$84,A46,Backlog!$N$2:$N$84,"Done")</f>
        <v>0</v>
      </c>
      <c r="E46" s="7" t="n">
        <f aca="false">IF($B$4&gt;0,C46/$B$4,0)</f>
        <v>0.833333333333333</v>
      </c>
    </row>
    <row r="47" customFormat="false" ht="15" hidden="false" customHeight="false" outlineLevel="0" collapsed="false">
      <c r="A47" s="5" t="s">
        <v>42</v>
      </c>
      <c r="B47" s="5" t="n">
        <f aca="false">COUNTIF(Backlog!$C$2:$C$84,A47)</f>
        <v>1</v>
      </c>
      <c r="C47" s="5" t="n">
        <f aca="false">SUMIFS(Backlog!$J$2:$J$84,Backlog!$C$2:$C$84,A47)</f>
        <v>3</v>
      </c>
      <c r="D47" s="5" t="n">
        <f aca="false">SUMIFS(Backlog!$J$2:$J$84,Backlog!$C$2:$C$84,A47,Backlog!$N$2:$N$84,"Done")</f>
        <v>0</v>
      </c>
      <c r="E47" s="7" t="n">
        <f aca="false">IF($B$4&gt;0,C47/$B$4,0)</f>
        <v>0.1</v>
      </c>
    </row>
    <row r="48" customFormat="false" ht="15" hidden="false" customHeight="false" outlineLevel="0" collapsed="false">
      <c r="A48" s="5" t="s">
        <v>43</v>
      </c>
      <c r="B48" s="5" t="n">
        <f aca="false">COUNTIF(Backlog!$C$2:$C$84,A48)</f>
        <v>4</v>
      </c>
      <c r="C48" s="5" t="n">
        <f aca="false">SUMIFS(Backlog!$J$2:$J$84,Backlog!$C$2:$C$84,A48)</f>
        <v>11</v>
      </c>
      <c r="D48" s="5" t="n">
        <f aca="false">SUMIFS(Backlog!$J$2:$J$84,Backlog!$C$2:$C$84,A48,Backlog!$N$2:$N$84,"Done")</f>
        <v>0</v>
      </c>
      <c r="E48" s="7" t="n">
        <f aca="false">IF($B$4&gt;0,C48/$B$4,0)</f>
        <v>0.366666666666667</v>
      </c>
    </row>
    <row r="49" customFormat="false" ht="15" hidden="false" customHeight="false" outlineLevel="0" collapsed="false">
      <c r="A49" s="5" t="s">
        <v>44</v>
      </c>
      <c r="B49" s="5" t="n">
        <f aca="false">COUNTIF(Backlog!$C$2:$C$84,A49)</f>
        <v>2</v>
      </c>
      <c r="C49" s="5" t="n">
        <f aca="false">SUMIFS(Backlog!$J$2:$J$84,Backlog!$C$2:$C$84,A49)</f>
        <v>6</v>
      </c>
      <c r="D49" s="5" t="n">
        <f aca="false">SUMIFS(Backlog!$J$2:$J$84,Backlog!$C$2:$C$84,A49,Backlog!$N$2:$N$84,"Done")</f>
        <v>0</v>
      </c>
      <c r="E49" s="7" t="n">
        <f aca="false">IF($B$4&gt;0,C49/$B$4,0)</f>
        <v>0.2</v>
      </c>
    </row>
    <row r="50" customFormat="false" ht="15" hidden="false" customHeight="false" outlineLevel="0" collapsed="false">
      <c r="A50" s="5" t="s">
        <v>45</v>
      </c>
      <c r="B50" s="5" t="n">
        <f aca="false">COUNTIF(Backlog!$C$2:$C$84,A50)</f>
        <v>2</v>
      </c>
      <c r="C50" s="5" t="n">
        <f aca="false">SUMIFS(Backlog!$J$2:$J$84,Backlog!$C$2:$C$84,A50)</f>
        <v>4</v>
      </c>
      <c r="D50" s="5" t="n">
        <f aca="false">SUMIFS(Backlog!$J$2:$J$84,Backlog!$C$2:$C$84,A50,Backlog!$N$2:$N$84,"Done")</f>
        <v>0</v>
      </c>
      <c r="E50" s="7" t="n">
        <f aca="false">IF($B$4&gt;0,C50/$B$4,0)</f>
        <v>0.133333333333333</v>
      </c>
    </row>
    <row r="51" customFormat="false" ht="15" hidden="false" customHeight="false" outlineLevel="0" collapsed="false">
      <c r="A51" s="5" t="s">
        <v>46</v>
      </c>
      <c r="B51" s="5" t="n">
        <f aca="false">COUNTIF(Backlog!$C$2:$C$84,A51)</f>
        <v>1</v>
      </c>
      <c r="C51" s="5" t="n">
        <f aca="false">SUMIFS(Backlog!$J$2:$J$84,Backlog!$C$2:$C$84,A51)</f>
        <v>2</v>
      </c>
      <c r="D51" s="5" t="n">
        <f aca="false">SUMIFS(Backlog!$J$2:$J$84,Backlog!$C$2:$C$84,A51,Backlog!$N$2:$N$84,"Done")</f>
        <v>0</v>
      </c>
      <c r="E51" s="7" t="n">
        <f aca="false">IF($B$4&gt;0,C51/$B$4,0)</f>
        <v>0.0666666666666667</v>
      </c>
    </row>
    <row r="52" customFormat="false" ht="15" hidden="false" customHeight="false" outlineLevel="0" collapsed="false">
      <c r="A52" s="5" t="s">
        <v>47</v>
      </c>
      <c r="B52" s="5" t="n">
        <f aca="false">COUNTIF(Backlog!$C$2:$C$84,A52)</f>
        <v>6</v>
      </c>
      <c r="C52" s="5" t="n">
        <f aca="false">SUMIFS(Backlog!$J$2:$J$84,Backlog!$C$2:$C$84,A52)</f>
        <v>19</v>
      </c>
      <c r="D52" s="5" t="n">
        <f aca="false">SUMIFS(Backlog!$J$2:$J$84,Backlog!$C$2:$C$84,A52,Backlog!$N$2:$N$84,"Done")</f>
        <v>0</v>
      </c>
      <c r="E52" s="7" t="n">
        <f aca="false">IF($B$4&gt;0,C52/$B$4,0)</f>
        <v>0.633333333333333</v>
      </c>
    </row>
    <row r="53" customFormat="false" ht="15" hidden="false" customHeight="false" outlineLevel="0" collapsed="false">
      <c r="A53" s="5" t="s">
        <v>48</v>
      </c>
      <c r="B53" s="5" t="n">
        <f aca="false">COUNTIF(Backlog!$C$2:$C$84,A53)</f>
        <v>4</v>
      </c>
      <c r="C53" s="5" t="n">
        <f aca="false">SUMIFS(Backlog!$J$2:$J$84,Backlog!$C$2:$C$84,A53)</f>
        <v>26</v>
      </c>
      <c r="D53" s="5" t="n">
        <f aca="false">SUMIFS(Backlog!$J$2:$J$84,Backlog!$C$2:$C$84,A53,Backlog!$N$2:$N$84,"Done")</f>
        <v>0</v>
      </c>
      <c r="E53" s="7" t="n">
        <f aca="false">IF($B$4&gt;0,C53/$B$4,0)</f>
        <v>0.866666666666667</v>
      </c>
    </row>
    <row r="54" customFormat="false" ht="15" hidden="false" customHeight="false" outlineLevel="0" collapsed="false">
      <c r="A54" s="5" t="s">
        <v>49</v>
      </c>
      <c r="B54" s="5" t="n">
        <f aca="false">COUNTIF(Backlog!$C$2:$C$84,A54)</f>
        <v>1</v>
      </c>
      <c r="C54" s="5" t="n">
        <f aca="false">SUMIFS(Backlog!$J$2:$J$84,Backlog!$C$2:$C$84,A54)</f>
        <v>3</v>
      </c>
      <c r="D54" s="5" t="n">
        <f aca="false">SUMIFS(Backlog!$J$2:$J$84,Backlog!$C$2:$C$84,A54,Backlog!$N$2:$N$84,"Done")</f>
        <v>0</v>
      </c>
      <c r="E54" s="7" t="n">
        <f aca="false">IF($B$4&gt;0,C54/$B$4,0)</f>
        <v>0.1</v>
      </c>
    </row>
    <row r="55" customFormat="false" ht="15" hidden="false" customHeight="false" outlineLevel="0" collapsed="false">
      <c r="A55" s="5" t="s">
        <v>50</v>
      </c>
      <c r="B55" s="5" t="n">
        <f aca="false">COUNTIF(Backlog!$C$2:$C$84,A55)</f>
        <v>1</v>
      </c>
      <c r="C55" s="5" t="n">
        <f aca="false">SUMIFS(Backlog!$J$2:$J$84,Backlog!$C$2:$C$84,A55)</f>
        <v>3</v>
      </c>
      <c r="D55" s="5" t="n">
        <f aca="false">SUMIFS(Backlog!$J$2:$J$84,Backlog!$C$2:$C$84,A55,Backlog!$N$2:$N$84,"Done")</f>
        <v>0</v>
      </c>
      <c r="E55" s="7" t="n">
        <f aca="false">IF($B$4&gt;0,C55/$B$4,0)</f>
        <v>0.1</v>
      </c>
    </row>
    <row r="56" customFormat="false" ht="15" hidden="false" customHeight="false" outlineLevel="0" collapsed="false">
      <c r="A56" s="5" t="s">
        <v>51</v>
      </c>
      <c r="B56" s="5" t="n">
        <f aca="false">COUNTIF(Backlog!$C$2:$C$84,A56)</f>
        <v>2</v>
      </c>
      <c r="C56" s="5" t="n">
        <f aca="false">SUMIFS(Backlog!$J$2:$J$84,Backlog!$C$2:$C$84,A56)</f>
        <v>4</v>
      </c>
      <c r="D56" s="5" t="n">
        <f aca="false">SUMIFS(Backlog!$J$2:$J$84,Backlog!$C$2:$C$84,A56,Backlog!$N$2:$N$84,"Done")</f>
        <v>0</v>
      </c>
      <c r="E56" s="7" t="n">
        <f aca="false">IF($B$4&gt;0,C56/$B$4,0)</f>
        <v>0.133333333333333</v>
      </c>
    </row>
    <row r="57" customFormat="false" ht="15" hidden="false" customHeight="false" outlineLevel="0" collapsed="false">
      <c r="A57" s="5" t="s">
        <v>52</v>
      </c>
      <c r="B57" s="5" t="n">
        <f aca="false">COUNTIF(Backlog!$C$2:$C$84,A57)</f>
        <v>6</v>
      </c>
      <c r="C57" s="5" t="n">
        <f aca="false">SUMIFS(Backlog!$J$2:$J$84,Backlog!$C$2:$C$84,A57)</f>
        <v>21</v>
      </c>
      <c r="D57" s="5" t="n">
        <f aca="false">SUMIFS(Backlog!$J$2:$J$84,Backlog!$C$2:$C$84,A57,Backlog!$N$2:$N$84,"Done")</f>
        <v>0</v>
      </c>
      <c r="E57" s="7" t="n">
        <f aca="false">IF($B$4&gt;0,C57/$B$4,0)</f>
        <v>0.7</v>
      </c>
    </row>
    <row r="58" customFormat="false" ht="15" hidden="false" customHeight="false" outlineLevel="0" collapsed="false">
      <c r="A58" s="5" t="s">
        <v>53</v>
      </c>
      <c r="B58" s="5" t="n">
        <f aca="false">COUNTIF(Backlog!$C$2:$C$84,A58)</f>
        <v>1</v>
      </c>
      <c r="C58" s="5" t="n">
        <f aca="false">SUMIFS(Backlog!$J$2:$J$84,Backlog!$C$2:$C$84,A58)</f>
        <v>3</v>
      </c>
      <c r="D58" s="5" t="n">
        <f aca="false">SUMIFS(Backlog!$J$2:$J$84,Backlog!$C$2:$C$84,A58,Backlog!$N$2:$N$84,"Done")</f>
        <v>0</v>
      </c>
      <c r="E58" s="7" t="n">
        <f aca="false">IF($B$4&gt;0,C58/$B$4,0)</f>
        <v>0.1</v>
      </c>
    </row>
    <row r="59" customFormat="false" ht="15" hidden="false" customHeight="false" outlineLevel="0" collapsed="false">
      <c r="A59" s="5" t="s">
        <v>54</v>
      </c>
      <c r="B59" s="5" t="n">
        <f aca="false">COUNTIF(Backlog!$C$2:$C$84,A59)</f>
        <v>8</v>
      </c>
      <c r="C59" s="5" t="n">
        <f aca="false">SUMIFS(Backlog!$J$2:$J$84,Backlog!$C$2:$C$84,A59)</f>
        <v>38</v>
      </c>
      <c r="D59" s="5" t="n">
        <f aca="false">SUMIFS(Backlog!$J$2:$J$84,Backlog!$C$2:$C$84,A59,Backlog!$N$2:$N$84,"Done")</f>
        <v>0</v>
      </c>
      <c r="E59" s="7" t="n">
        <f aca="false">IF($B$4&gt;0,C59/$B$4,0)</f>
        <v>1.26666666666667</v>
      </c>
    </row>
    <row r="60" customFormat="false" ht="15" hidden="false" customHeight="false" outlineLevel="0" collapsed="false">
      <c r="A60" s="5" t="s">
        <v>55</v>
      </c>
      <c r="B60" s="5" t="n">
        <f aca="false">COUNTIF(Backlog!$C$2:$C$84,A60)</f>
        <v>1</v>
      </c>
      <c r="C60" s="5" t="n">
        <f aca="false">SUMIFS(Backlog!$J$2:$J$84,Backlog!$C$2:$C$84,A60)</f>
        <v>2</v>
      </c>
      <c r="D60" s="5" t="n">
        <f aca="false">SUMIFS(Backlog!$J$2:$J$84,Backlog!$C$2:$C$84,A60,Backlog!$N$2:$N$84,"Done")</f>
        <v>0</v>
      </c>
      <c r="E60" s="7" t="n">
        <f aca="false">IF($B$4&gt;0,C60/$B$4,0)</f>
        <v>0.0666666666666667</v>
      </c>
    </row>
    <row r="61" customFormat="false" ht="15" hidden="false" customHeight="false" outlineLevel="0" collapsed="false">
      <c r="A61" s="5" t="s">
        <v>56</v>
      </c>
      <c r="B61" s="5" t="n">
        <f aca="false">COUNTIF(Backlog!$C$2:$C$84,A61)</f>
        <v>4</v>
      </c>
      <c r="C61" s="5" t="n">
        <f aca="false">SUMIFS(Backlog!$J$2:$J$84,Backlog!$C$2:$C$84,A61)</f>
        <v>15</v>
      </c>
      <c r="D61" s="5" t="n">
        <f aca="false">SUMIFS(Backlog!$J$2:$J$84,Backlog!$C$2:$C$84,A61,Backlog!$N$2:$N$84,"Done")</f>
        <v>0</v>
      </c>
      <c r="E61" s="7" t="n">
        <f aca="false">IF($B$4&gt;0,C61/$B$4,0)</f>
        <v>0.5</v>
      </c>
    </row>
    <row r="62" customFormat="false" ht="15" hidden="false" customHeight="false" outlineLevel="0" collapsed="false">
      <c r="A62" s="5" t="s">
        <v>57</v>
      </c>
      <c r="B62" s="5" t="n">
        <f aca="false">COUNTIF(Backlog!$C$2:$C$84,A62)</f>
        <v>1</v>
      </c>
      <c r="C62" s="5" t="n">
        <f aca="false">SUMIFS(Backlog!$J$2:$J$84,Backlog!$C$2:$C$84,A62)</f>
        <v>3</v>
      </c>
      <c r="D62" s="5" t="n">
        <f aca="false">SUMIFS(Backlog!$J$2:$J$84,Backlog!$C$2:$C$84,A62,Backlog!$N$2:$N$84,"Done")</f>
        <v>0</v>
      </c>
      <c r="E62" s="7" t="n">
        <f aca="false">IF($B$4&gt;0,C62/$B$4,0)</f>
        <v>0.1</v>
      </c>
    </row>
    <row r="63" customFormat="false" ht="15" hidden="false" customHeight="false" outlineLevel="0" collapsed="false">
      <c r="A63" s="5" t="s">
        <v>58</v>
      </c>
      <c r="B63" s="5" t="n">
        <f aca="false">COUNTIF(Backlog!$C$2:$C$84,A63)</f>
        <v>1</v>
      </c>
      <c r="C63" s="5" t="n">
        <f aca="false">SUMIFS(Backlog!$J$2:$J$84,Backlog!$C$2:$C$84,A63)</f>
        <v>3</v>
      </c>
      <c r="D63" s="5" t="n">
        <f aca="false">SUMIFS(Backlog!$J$2:$J$84,Backlog!$C$2:$C$84,A63,Backlog!$N$2:$N$84,"Done")</f>
        <v>0</v>
      </c>
      <c r="E63" s="7" t="n">
        <f aca="false">IF($B$4&gt;0,C63/$B$4,0)</f>
        <v>0.1</v>
      </c>
    </row>
    <row r="64" customFormat="false" ht="15" hidden="false" customHeight="false" outlineLevel="0" collapsed="false">
      <c r="A64" s="3" t="s">
        <v>15</v>
      </c>
      <c r="B64" s="3" t="n">
        <f aca="false">SUM(B34:B63)</f>
        <v>83</v>
      </c>
      <c r="C64" s="3" t="n">
        <f aca="false">SUM(C34:C63)</f>
        <v>292</v>
      </c>
      <c r="D64" s="3" t="n">
        <f aca="false">SUM(D34:D63)</f>
        <v>0</v>
      </c>
      <c r="E64" s="8" t="n">
        <f aca="false">SUM(E34:E63)</f>
        <v>9.73333333333333</v>
      </c>
    </row>
    <row r="66" customFormat="false" ht="23.85" hidden="false" customHeight="false" outlineLevel="0" collapsed="false">
      <c r="A66" s="6" t="s">
        <v>59</v>
      </c>
      <c r="B66" s="6" t="s">
        <v>5</v>
      </c>
      <c r="C66" s="6" t="s">
        <v>6</v>
      </c>
      <c r="D66" s="6"/>
      <c r="E66" s="6" t="s">
        <v>8</v>
      </c>
    </row>
    <row r="67" customFormat="false" ht="15" hidden="false" customHeight="false" outlineLevel="0" collapsed="false">
      <c r="A67" s="5" t="s">
        <v>60</v>
      </c>
      <c r="B67" s="5" t="n">
        <f aca="false">COUNTIFS(Backlog!$L$2:$L$84,"P1 - Must",Backlog!$B$2:$B$84,"&lt;&gt;5 - Future: CSTR")</f>
        <v>59</v>
      </c>
      <c r="C67" s="5" t="n">
        <f aca="false">SUMIFS(Backlog!$J$2:$J$84,Backlog!$L$2:$L$84,"P1 - Must",Backlog!$B$2:$B$84,"&lt;&gt;5 - Future: CSTR")</f>
        <v>205</v>
      </c>
      <c r="D67" s="5"/>
      <c r="E67" s="7" t="n">
        <f aca="false">IF($B$4&gt;0,C67/$B$4,0)</f>
        <v>6.83333333333333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6" t="s">
        <v>63</v>
      </c>
      <c r="B4" s="6" t="s">
        <v>64</v>
      </c>
      <c r="C4" s="6" t="s">
        <v>65</v>
      </c>
    </row>
    <row r="5" customFormat="false" ht="15" hidden="false" customHeight="false" outlineLevel="0" collapsed="false">
      <c r="A5" s="3" t="s">
        <v>25</v>
      </c>
      <c r="B5" s="9" t="n">
        <v>2</v>
      </c>
      <c r="C5" s="5" t="s">
        <v>66</v>
      </c>
      <c r="D5" s="10" t="s">
        <v>67</v>
      </c>
    </row>
    <row r="6" customFormat="false" ht="15" hidden="false" customHeight="false" outlineLevel="0" collapsed="false">
      <c r="A6" s="3" t="s">
        <v>26</v>
      </c>
      <c r="B6" s="9" t="n">
        <v>3</v>
      </c>
      <c r="C6" s="5" t="s">
        <v>68</v>
      </c>
    </row>
    <row r="7" customFormat="false" ht="15" hidden="false" customHeight="false" outlineLevel="0" collapsed="false">
      <c r="A7" s="3" t="s">
        <v>27</v>
      </c>
      <c r="B7" s="9" t="n">
        <v>8</v>
      </c>
      <c r="C7" s="5" t="s">
        <v>69</v>
      </c>
    </row>
    <row r="9" customFormat="false" ht="15" hidden="false" customHeight="false" outlineLevel="0" collapsed="false">
      <c r="A9" s="6" t="s">
        <v>70</v>
      </c>
      <c r="B9" s="6"/>
      <c r="C9" s="6" t="s">
        <v>71</v>
      </c>
    </row>
    <row r="10" customFormat="false" ht="15" hidden="false" customHeight="false" outlineLevel="0" collapsed="false">
      <c r="A10" s="3" t="s">
        <v>21</v>
      </c>
      <c r="B10" s="5"/>
      <c r="C10" s="5" t="s">
        <v>72</v>
      </c>
    </row>
    <row r="11" customFormat="false" ht="15" hidden="false" customHeight="false" outlineLevel="0" collapsed="false">
      <c r="A11" s="3" t="s">
        <v>22</v>
      </c>
      <c r="B11" s="5"/>
      <c r="C11" s="5" t="s">
        <v>73</v>
      </c>
    </row>
    <row r="12" customFormat="false" ht="15" hidden="false" customHeight="false" outlineLevel="0" collapsed="false">
      <c r="A12" s="3" t="s">
        <v>23</v>
      </c>
      <c r="B12" s="5"/>
      <c r="C12" s="5" t="s">
        <v>74</v>
      </c>
    </row>
    <row r="14" customFormat="false" ht="15" hidden="false" customHeight="false" outlineLevel="0" collapsed="false">
      <c r="A14" s="6" t="s">
        <v>75</v>
      </c>
      <c r="B14" s="6"/>
      <c r="C14" s="6" t="s">
        <v>65</v>
      </c>
    </row>
    <row r="15" customFormat="false" ht="15" hidden="false" customHeight="false" outlineLevel="0" collapsed="false">
      <c r="A15" s="3" t="s">
        <v>17</v>
      </c>
      <c r="B15" s="5"/>
      <c r="C15" s="5" t="s">
        <v>76</v>
      </c>
    </row>
    <row r="16" customFormat="false" ht="15" hidden="false" customHeight="false" outlineLevel="0" collapsed="false">
      <c r="A16" s="3" t="s">
        <v>18</v>
      </c>
      <c r="B16" s="5"/>
      <c r="C16" s="5" t="s">
        <v>77</v>
      </c>
    </row>
    <row r="17" customFormat="false" ht="15" hidden="false" customHeight="false" outlineLevel="0" collapsed="false">
      <c r="A17" s="3" t="s">
        <v>19</v>
      </c>
      <c r="B17" s="5"/>
      <c r="C17" s="5" t="s">
        <v>78</v>
      </c>
    </row>
    <row r="19" customFormat="false" ht="15" hidden="false" customHeight="false" outlineLevel="0" collapsed="false">
      <c r="A19" s="6" t="s">
        <v>79</v>
      </c>
      <c r="B19" s="6"/>
      <c r="C19" s="6" t="s">
        <v>65</v>
      </c>
    </row>
    <row r="20" customFormat="false" ht="15" hidden="false" customHeight="false" outlineLevel="0" collapsed="false">
      <c r="A20" s="3" t="s">
        <v>80</v>
      </c>
      <c r="B20" s="5"/>
      <c r="C20" s="5"/>
    </row>
    <row r="21" customFormat="false" ht="15" hidden="false" customHeight="false" outlineLevel="0" collapsed="false">
      <c r="A21" s="3" t="s">
        <v>81</v>
      </c>
      <c r="B21" s="5"/>
      <c r="C21" s="5"/>
    </row>
    <row r="22" customFormat="false" ht="15" hidden="false" customHeight="false" outlineLevel="0" collapsed="false">
      <c r="A22" s="3" t="s">
        <v>82</v>
      </c>
      <c r="B22" s="5"/>
      <c r="C22" s="5"/>
    </row>
    <row r="23" customFormat="false" ht="15" hidden="false" customHeight="false" outlineLevel="0" collapsed="false">
      <c r="A23" s="3" t="s">
        <v>83</v>
      </c>
      <c r="B23" s="5"/>
      <c r="C23" s="5"/>
    </row>
    <row r="25" customFormat="false" ht="45" hidden="false" customHeight="true" outlineLevel="0" collapsed="false">
      <c r="A25" s="11" t="s">
        <v>84</v>
      </c>
      <c r="B25" s="11"/>
      <c r="C25" s="11"/>
      <c r="D25" s="11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55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8"/>
  </cols>
  <sheetData>
    <row r="1" customFormat="false" ht="30" hidden="false" customHeight="true" outlineLevel="0" collapsed="false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64</v>
      </c>
      <c r="K1" s="6" t="s">
        <v>70</v>
      </c>
      <c r="L1" s="6" t="s">
        <v>75</v>
      </c>
      <c r="M1" s="6" t="s">
        <v>94</v>
      </c>
      <c r="N1" s="6" t="s">
        <v>79</v>
      </c>
      <c r="O1" s="6" t="s">
        <v>95</v>
      </c>
    </row>
    <row r="2" customFormat="false" ht="23.85" hidden="false" customHeight="false" outlineLevel="0" collapsed="false">
      <c r="A2" s="5" t="s">
        <v>96</v>
      </c>
      <c r="B2" s="5" t="s">
        <v>9</v>
      </c>
      <c r="C2" s="5" t="s">
        <v>32</v>
      </c>
      <c r="D2" s="5" t="s">
        <v>97</v>
      </c>
      <c r="E2" s="5" t="s">
        <v>98</v>
      </c>
      <c r="F2" s="5" t="s">
        <v>99</v>
      </c>
      <c r="G2" s="5" t="s">
        <v>100</v>
      </c>
      <c r="H2" s="5" t="s">
        <v>101</v>
      </c>
      <c r="I2" s="12" t="s">
        <v>26</v>
      </c>
      <c r="J2" s="13" t="n">
        <f aca="false">IFERROR(INDEX(Legend!$B$5:$B$7,MATCH(I2,Legend!$A$5:$A$7,0)),0)</f>
        <v>3</v>
      </c>
      <c r="K2" s="9" t="s">
        <v>22</v>
      </c>
      <c r="L2" s="9" t="s">
        <v>17</v>
      </c>
      <c r="M2" s="5"/>
      <c r="N2" s="9" t="s">
        <v>80</v>
      </c>
      <c r="O2" s="9"/>
    </row>
    <row r="3" customFormat="false" ht="23.85" hidden="false" customHeight="false" outlineLevel="0" collapsed="false">
      <c r="A3" s="5" t="s">
        <v>102</v>
      </c>
      <c r="B3" s="5" t="s">
        <v>9</v>
      </c>
      <c r="C3" s="5" t="s">
        <v>48</v>
      </c>
      <c r="D3" s="5" t="s">
        <v>103</v>
      </c>
      <c r="E3" s="5" t="s">
        <v>104</v>
      </c>
      <c r="F3" s="5" t="s">
        <v>105</v>
      </c>
      <c r="G3" s="5" t="s">
        <v>100</v>
      </c>
      <c r="H3" s="5" t="s">
        <v>106</v>
      </c>
      <c r="I3" s="12" t="s">
        <v>25</v>
      </c>
      <c r="J3" s="13" t="n">
        <f aca="false">IFERROR(INDEX(Legend!$B$5:$B$7,MATCH(I3,Legend!$A$5:$A$7,0)),0)</f>
        <v>2</v>
      </c>
      <c r="K3" s="9" t="s">
        <v>23</v>
      </c>
      <c r="L3" s="9" t="s">
        <v>17</v>
      </c>
      <c r="M3" s="5" t="s">
        <v>96</v>
      </c>
      <c r="N3" s="9" t="s">
        <v>80</v>
      </c>
      <c r="O3" s="9"/>
    </row>
    <row r="4" customFormat="false" ht="35.05" hidden="false" customHeight="false" outlineLevel="0" collapsed="false">
      <c r="A4" s="5" t="s">
        <v>107</v>
      </c>
      <c r="B4" s="5" t="s">
        <v>9</v>
      </c>
      <c r="C4" s="5" t="s">
        <v>36</v>
      </c>
      <c r="D4" s="5" t="s">
        <v>108</v>
      </c>
      <c r="E4" s="5" t="s">
        <v>109</v>
      </c>
      <c r="F4" s="5" t="s">
        <v>110</v>
      </c>
      <c r="G4" s="5" t="s">
        <v>100</v>
      </c>
      <c r="H4" s="5" t="s">
        <v>111</v>
      </c>
      <c r="I4" s="12" t="s">
        <v>26</v>
      </c>
      <c r="J4" s="13" t="n">
        <f aca="false">IFERROR(INDEX(Legend!$B$5:$B$7,MATCH(I4,Legend!$A$5:$A$7,0)),0)</f>
        <v>3</v>
      </c>
      <c r="K4" s="9" t="s">
        <v>22</v>
      </c>
      <c r="L4" s="9" t="s">
        <v>17</v>
      </c>
      <c r="M4" s="5" t="s">
        <v>96</v>
      </c>
      <c r="N4" s="9" t="s">
        <v>80</v>
      </c>
      <c r="O4" s="9"/>
    </row>
    <row r="5" customFormat="false" ht="23.85" hidden="false" customHeight="false" outlineLevel="0" collapsed="false">
      <c r="A5" s="5" t="s">
        <v>112</v>
      </c>
      <c r="B5" s="5" t="s">
        <v>9</v>
      </c>
      <c r="C5" s="5" t="s">
        <v>37</v>
      </c>
      <c r="D5" s="5" t="s">
        <v>113</v>
      </c>
      <c r="E5" s="5" t="s">
        <v>114</v>
      </c>
      <c r="F5" s="5" t="s">
        <v>115</v>
      </c>
      <c r="G5" s="5" t="s">
        <v>100</v>
      </c>
      <c r="H5" s="5" t="s">
        <v>111</v>
      </c>
      <c r="I5" s="12" t="s">
        <v>26</v>
      </c>
      <c r="J5" s="13" t="n">
        <f aca="false">IFERROR(INDEX(Legend!$B$5:$B$7,MATCH(I5,Legend!$A$5:$A$7,0)),0)</f>
        <v>3</v>
      </c>
      <c r="K5" s="9" t="s">
        <v>22</v>
      </c>
      <c r="L5" s="9" t="s">
        <v>17</v>
      </c>
      <c r="M5" s="5" t="s">
        <v>107</v>
      </c>
      <c r="N5" s="9" t="s">
        <v>80</v>
      </c>
      <c r="O5" s="9"/>
    </row>
    <row r="6" customFormat="false" ht="23.85" hidden="false" customHeight="false" outlineLevel="0" collapsed="false">
      <c r="A6" s="5" t="s">
        <v>116</v>
      </c>
      <c r="B6" s="5" t="s">
        <v>9</v>
      </c>
      <c r="C6" s="5" t="s">
        <v>41</v>
      </c>
      <c r="D6" s="5" t="s">
        <v>117</v>
      </c>
      <c r="E6" s="5" t="s">
        <v>118</v>
      </c>
      <c r="F6" s="5" t="s">
        <v>119</v>
      </c>
      <c r="G6" s="5" t="s">
        <v>100</v>
      </c>
      <c r="H6" s="5" t="s">
        <v>111</v>
      </c>
      <c r="I6" s="12" t="s">
        <v>25</v>
      </c>
      <c r="J6" s="13" t="n">
        <f aca="false">IFERROR(INDEX(Legend!$B$5:$B$7,MATCH(I6,Legend!$A$5:$A$7,0)),0)</f>
        <v>2</v>
      </c>
      <c r="K6" s="9" t="s">
        <v>23</v>
      </c>
      <c r="L6" s="9" t="s">
        <v>17</v>
      </c>
      <c r="M6" s="5" t="s">
        <v>107</v>
      </c>
      <c r="N6" s="9" t="s">
        <v>80</v>
      </c>
      <c r="O6" s="9"/>
    </row>
    <row r="7" customFormat="false" ht="23.85" hidden="false" customHeight="false" outlineLevel="0" collapsed="false">
      <c r="A7" s="5" t="s">
        <v>120</v>
      </c>
      <c r="B7" s="5" t="s">
        <v>9</v>
      </c>
      <c r="C7" s="5" t="s">
        <v>40</v>
      </c>
      <c r="D7" s="5" t="s">
        <v>121</v>
      </c>
      <c r="E7" s="5" t="s">
        <v>122</v>
      </c>
      <c r="F7" s="5" t="s">
        <v>123</v>
      </c>
      <c r="G7" s="5" t="s">
        <v>100</v>
      </c>
      <c r="H7" s="5" t="s">
        <v>124</v>
      </c>
      <c r="I7" s="12" t="s">
        <v>26</v>
      </c>
      <c r="J7" s="13" t="n">
        <f aca="false">IFERROR(INDEX(Legend!$B$5:$B$7,MATCH(I7,Legend!$A$5:$A$7,0)),0)</f>
        <v>3</v>
      </c>
      <c r="K7" s="9" t="s">
        <v>22</v>
      </c>
      <c r="L7" s="9" t="s">
        <v>17</v>
      </c>
      <c r="M7" s="5" t="s">
        <v>116</v>
      </c>
      <c r="N7" s="9" t="s">
        <v>80</v>
      </c>
      <c r="O7" s="9"/>
    </row>
    <row r="8" customFormat="false" ht="23.85" hidden="false" customHeight="false" outlineLevel="0" collapsed="false">
      <c r="A8" s="5" t="s">
        <v>125</v>
      </c>
      <c r="B8" s="5" t="s">
        <v>9</v>
      </c>
      <c r="C8" s="5" t="s">
        <v>37</v>
      </c>
      <c r="D8" s="5" t="s">
        <v>126</v>
      </c>
      <c r="E8" s="5" t="s">
        <v>127</v>
      </c>
      <c r="F8" s="5" t="s">
        <v>128</v>
      </c>
      <c r="G8" s="5" t="s">
        <v>100</v>
      </c>
      <c r="H8" s="5" t="s">
        <v>111</v>
      </c>
      <c r="I8" s="12" t="s">
        <v>25</v>
      </c>
      <c r="J8" s="13" t="n">
        <f aca="false">IFERROR(INDEX(Legend!$B$5:$B$7,MATCH(I8,Legend!$A$5:$A$7,0)),0)</f>
        <v>2</v>
      </c>
      <c r="K8" s="9" t="s">
        <v>23</v>
      </c>
      <c r="L8" s="9" t="s">
        <v>17</v>
      </c>
      <c r="M8" s="5" t="s">
        <v>129</v>
      </c>
      <c r="N8" s="9" t="s">
        <v>80</v>
      </c>
      <c r="O8" s="9"/>
    </row>
    <row r="9" customFormat="false" ht="23.85" hidden="false" customHeight="false" outlineLevel="0" collapsed="false">
      <c r="A9" s="5" t="s">
        <v>130</v>
      </c>
      <c r="B9" s="5" t="s">
        <v>9</v>
      </c>
      <c r="C9" s="5" t="s">
        <v>48</v>
      </c>
      <c r="D9" s="5" t="s">
        <v>131</v>
      </c>
      <c r="E9" s="5" t="s">
        <v>132</v>
      </c>
      <c r="F9" s="5" t="s">
        <v>133</v>
      </c>
      <c r="G9" s="5" t="s">
        <v>100</v>
      </c>
      <c r="H9" s="5" t="s">
        <v>134</v>
      </c>
      <c r="I9" s="12" t="s">
        <v>27</v>
      </c>
      <c r="J9" s="13" t="n">
        <f aca="false">IFERROR(INDEX(Legend!$B$5:$B$7,MATCH(I9,Legend!$A$5:$A$7,0)),0)</f>
        <v>8</v>
      </c>
      <c r="K9" s="9" t="s">
        <v>21</v>
      </c>
      <c r="L9" s="9" t="s">
        <v>17</v>
      </c>
      <c r="M9" s="5" t="s">
        <v>135</v>
      </c>
      <c r="N9" s="9" t="s">
        <v>80</v>
      </c>
      <c r="O9" s="9"/>
    </row>
    <row r="10" customFormat="false" ht="35.05" hidden="false" customHeight="false" outlineLevel="0" collapsed="false">
      <c r="A10" s="5" t="s">
        <v>136</v>
      </c>
      <c r="B10" s="5" t="s">
        <v>9</v>
      </c>
      <c r="C10" s="5" t="s">
        <v>35</v>
      </c>
      <c r="D10" s="5" t="s">
        <v>137</v>
      </c>
      <c r="E10" s="5" t="s">
        <v>138</v>
      </c>
      <c r="F10" s="5" t="s">
        <v>139</v>
      </c>
      <c r="G10" s="5" t="s">
        <v>100</v>
      </c>
      <c r="H10" s="5" t="s">
        <v>140</v>
      </c>
      <c r="I10" s="12" t="s">
        <v>27</v>
      </c>
      <c r="J10" s="13" t="n">
        <f aca="false">IFERROR(INDEX(Legend!$B$5:$B$7,MATCH(I10,Legend!$A$5:$A$7,0)),0)</f>
        <v>8</v>
      </c>
      <c r="K10" s="9" t="s">
        <v>21</v>
      </c>
      <c r="L10" s="9" t="s">
        <v>17</v>
      </c>
      <c r="M10" s="5" t="s">
        <v>96</v>
      </c>
      <c r="N10" s="9" t="s">
        <v>80</v>
      </c>
      <c r="O10" s="9"/>
    </row>
    <row r="11" customFormat="false" ht="23.85" hidden="false" customHeight="false" outlineLevel="0" collapsed="false">
      <c r="A11" s="5" t="s">
        <v>141</v>
      </c>
      <c r="B11" s="5" t="s">
        <v>9</v>
      </c>
      <c r="C11" s="5" t="s">
        <v>35</v>
      </c>
      <c r="D11" s="5" t="s">
        <v>142</v>
      </c>
      <c r="E11" s="5" t="s">
        <v>143</v>
      </c>
      <c r="F11" s="5" t="s">
        <v>144</v>
      </c>
      <c r="G11" s="5" t="s">
        <v>100</v>
      </c>
      <c r="H11" s="5" t="s">
        <v>140</v>
      </c>
      <c r="I11" s="12" t="s">
        <v>26</v>
      </c>
      <c r="J11" s="13" t="n">
        <f aca="false">IFERROR(INDEX(Legend!$B$5:$B$7,MATCH(I11,Legend!$A$5:$A$7,0)),0)</f>
        <v>3</v>
      </c>
      <c r="K11" s="9" t="s">
        <v>22</v>
      </c>
      <c r="L11" s="9" t="s">
        <v>17</v>
      </c>
      <c r="M11" s="5" t="s">
        <v>136</v>
      </c>
      <c r="N11" s="9" t="s">
        <v>80</v>
      </c>
      <c r="O11" s="9"/>
    </row>
    <row r="12" customFormat="false" ht="23.85" hidden="false" customHeight="false" outlineLevel="0" collapsed="false">
      <c r="A12" s="5" t="s">
        <v>145</v>
      </c>
      <c r="B12" s="5" t="s">
        <v>9</v>
      </c>
      <c r="C12" s="5" t="s">
        <v>38</v>
      </c>
      <c r="D12" s="5" t="s">
        <v>146</v>
      </c>
      <c r="E12" s="5" t="s">
        <v>147</v>
      </c>
      <c r="F12" s="5" t="s">
        <v>148</v>
      </c>
      <c r="G12" s="5" t="s">
        <v>100</v>
      </c>
      <c r="H12" s="5" t="s">
        <v>149</v>
      </c>
      <c r="I12" s="12" t="s">
        <v>26</v>
      </c>
      <c r="J12" s="13" t="n">
        <f aca="false">IFERROR(INDEX(Legend!$B$5:$B$7,MATCH(I12,Legend!$A$5:$A$7,0)),0)</f>
        <v>3</v>
      </c>
      <c r="K12" s="9" t="s">
        <v>22</v>
      </c>
      <c r="L12" s="9" t="s">
        <v>17</v>
      </c>
      <c r="M12" s="5" t="s">
        <v>107</v>
      </c>
      <c r="N12" s="9" t="s">
        <v>80</v>
      </c>
      <c r="O12" s="9"/>
    </row>
    <row r="13" customFormat="false" ht="23.85" hidden="false" customHeight="false" outlineLevel="0" collapsed="false">
      <c r="A13" s="5" t="s">
        <v>150</v>
      </c>
      <c r="B13" s="5" t="s">
        <v>9</v>
      </c>
      <c r="C13" s="5" t="s">
        <v>44</v>
      </c>
      <c r="D13" s="5" t="s">
        <v>151</v>
      </c>
      <c r="E13" s="5" t="s">
        <v>152</v>
      </c>
      <c r="F13" s="5" t="s">
        <v>153</v>
      </c>
      <c r="G13" s="5" t="s">
        <v>100</v>
      </c>
      <c r="H13" s="5" t="s">
        <v>149</v>
      </c>
      <c r="I13" s="12" t="s">
        <v>26</v>
      </c>
      <c r="J13" s="13" t="n">
        <f aca="false">IFERROR(INDEX(Legend!$B$5:$B$7,MATCH(I13,Legend!$A$5:$A$7,0)),0)</f>
        <v>3</v>
      </c>
      <c r="K13" s="9" t="s">
        <v>22</v>
      </c>
      <c r="L13" s="9" t="s">
        <v>17</v>
      </c>
      <c r="M13" s="5" t="s">
        <v>107</v>
      </c>
      <c r="N13" s="9" t="s">
        <v>80</v>
      </c>
      <c r="O13" s="9"/>
    </row>
    <row r="14" customFormat="false" ht="23.85" hidden="false" customHeight="false" outlineLevel="0" collapsed="false">
      <c r="A14" s="5" t="s">
        <v>154</v>
      </c>
      <c r="B14" s="5" t="s">
        <v>9</v>
      </c>
      <c r="C14" s="5" t="s">
        <v>29</v>
      </c>
      <c r="D14" s="5" t="s">
        <v>155</v>
      </c>
      <c r="E14" s="5" t="s">
        <v>156</v>
      </c>
      <c r="F14" s="5" t="s">
        <v>157</v>
      </c>
      <c r="G14" s="5" t="s">
        <v>100</v>
      </c>
      <c r="H14" s="5" t="s">
        <v>158</v>
      </c>
      <c r="I14" s="12" t="s">
        <v>26</v>
      </c>
      <c r="J14" s="13" t="n">
        <f aca="false">IFERROR(INDEX(Legend!$B$5:$B$7,MATCH(I14,Legend!$A$5:$A$7,0)),0)</f>
        <v>3</v>
      </c>
      <c r="K14" s="9" t="s">
        <v>22</v>
      </c>
      <c r="L14" s="9" t="s">
        <v>17</v>
      </c>
      <c r="M14" s="5" t="s">
        <v>159</v>
      </c>
      <c r="N14" s="9" t="s">
        <v>80</v>
      </c>
      <c r="O14" s="9"/>
    </row>
    <row r="15" customFormat="false" ht="23.85" hidden="false" customHeight="false" outlineLevel="0" collapsed="false">
      <c r="A15" s="5" t="s">
        <v>160</v>
      </c>
      <c r="B15" s="5" t="s">
        <v>9</v>
      </c>
      <c r="C15" s="5" t="s">
        <v>47</v>
      </c>
      <c r="D15" s="5" t="s">
        <v>161</v>
      </c>
      <c r="E15" s="5" t="s">
        <v>162</v>
      </c>
      <c r="F15" s="5" t="s">
        <v>163</v>
      </c>
      <c r="G15" s="5" t="s">
        <v>100</v>
      </c>
      <c r="H15" s="5" t="s">
        <v>164</v>
      </c>
      <c r="I15" s="12" t="s">
        <v>25</v>
      </c>
      <c r="J15" s="13" t="n">
        <f aca="false">IFERROR(INDEX(Legend!$B$5:$B$7,MATCH(I15,Legend!$A$5:$A$7,0)),0)</f>
        <v>2</v>
      </c>
      <c r="K15" s="9" t="s">
        <v>23</v>
      </c>
      <c r="L15" s="9" t="s">
        <v>17</v>
      </c>
      <c r="M15" s="5" t="s">
        <v>107</v>
      </c>
      <c r="N15" s="9" t="s">
        <v>80</v>
      </c>
      <c r="O15" s="9"/>
    </row>
    <row r="16" customFormat="false" ht="46.25" hidden="false" customHeight="false" outlineLevel="0" collapsed="false">
      <c r="A16" s="5" t="s">
        <v>165</v>
      </c>
      <c r="B16" s="5" t="s">
        <v>9</v>
      </c>
      <c r="C16" s="5" t="s">
        <v>47</v>
      </c>
      <c r="D16" s="5" t="s">
        <v>166</v>
      </c>
      <c r="E16" s="5" t="s">
        <v>167</v>
      </c>
      <c r="F16" s="5" t="s">
        <v>168</v>
      </c>
      <c r="G16" s="5" t="s">
        <v>100</v>
      </c>
      <c r="H16" s="5" t="s">
        <v>169</v>
      </c>
      <c r="I16" s="12" t="s">
        <v>27</v>
      </c>
      <c r="J16" s="13" t="n">
        <f aca="false">IFERROR(INDEX(Legend!$B$5:$B$7,MATCH(I16,Legend!$A$5:$A$7,0)),0)</f>
        <v>8</v>
      </c>
      <c r="K16" s="9" t="s">
        <v>21</v>
      </c>
      <c r="L16" s="9" t="s">
        <v>17</v>
      </c>
      <c r="M16" s="5" t="s">
        <v>170</v>
      </c>
      <c r="N16" s="9" t="s">
        <v>80</v>
      </c>
      <c r="O16" s="9"/>
    </row>
    <row r="17" customFormat="false" ht="23.85" hidden="false" customHeight="false" outlineLevel="0" collapsed="false">
      <c r="A17" s="5" t="s">
        <v>171</v>
      </c>
      <c r="B17" s="5" t="s">
        <v>9</v>
      </c>
      <c r="C17" s="5" t="s">
        <v>47</v>
      </c>
      <c r="D17" s="5" t="s">
        <v>172</v>
      </c>
      <c r="E17" s="5" t="s">
        <v>173</v>
      </c>
      <c r="F17" s="5" t="s">
        <v>174</v>
      </c>
      <c r="G17" s="5" t="s">
        <v>100</v>
      </c>
      <c r="H17" s="5" t="s">
        <v>164</v>
      </c>
      <c r="I17" s="12" t="s">
        <v>25</v>
      </c>
      <c r="J17" s="13" t="n">
        <f aca="false">IFERROR(INDEX(Legend!$B$5:$B$7,MATCH(I17,Legend!$A$5:$A$7,0)),0)</f>
        <v>2</v>
      </c>
      <c r="K17" s="9" t="s">
        <v>22</v>
      </c>
      <c r="L17" s="9" t="s">
        <v>17</v>
      </c>
      <c r="M17" s="5" t="s">
        <v>112</v>
      </c>
      <c r="N17" s="9" t="s">
        <v>80</v>
      </c>
      <c r="O17" s="9"/>
    </row>
    <row r="18" customFormat="false" ht="23.85" hidden="false" customHeight="false" outlineLevel="0" collapsed="false">
      <c r="A18" s="5" t="s">
        <v>175</v>
      </c>
      <c r="B18" s="5" t="s">
        <v>9</v>
      </c>
      <c r="C18" s="5" t="s">
        <v>30</v>
      </c>
      <c r="D18" s="5" t="s">
        <v>176</v>
      </c>
      <c r="E18" s="5" t="s">
        <v>177</v>
      </c>
      <c r="F18" s="5" t="s">
        <v>178</v>
      </c>
      <c r="G18" s="5" t="s">
        <v>100</v>
      </c>
      <c r="H18" s="5" t="s">
        <v>164</v>
      </c>
      <c r="I18" s="12" t="s">
        <v>27</v>
      </c>
      <c r="J18" s="13" t="n">
        <f aca="false">IFERROR(INDEX(Legend!$B$5:$B$7,MATCH(I18,Legend!$A$5:$A$7,0)),0)</f>
        <v>8</v>
      </c>
      <c r="K18" s="9" t="s">
        <v>21</v>
      </c>
      <c r="L18" s="9" t="s">
        <v>17</v>
      </c>
      <c r="M18" s="5" t="s">
        <v>165</v>
      </c>
      <c r="N18" s="9" t="s">
        <v>80</v>
      </c>
      <c r="O18" s="9"/>
    </row>
    <row r="19" customFormat="false" ht="23.85" hidden="false" customHeight="false" outlineLevel="0" collapsed="false">
      <c r="A19" s="5" t="s">
        <v>179</v>
      </c>
      <c r="B19" s="5" t="s">
        <v>9</v>
      </c>
      <c r="C19" s="5" t="s">
        <v>51</v>
      </c>
      <c r="D19" s="5" t="s">
        <v>180</v>
      </c>
      <c r="E19" s="5" t="s">
        <v>181</v>
      </c>
      <c r="F19" s="5" t="s">
        <v>182</v>
      </c>
      <c r="G19" s="5" t="s">
        <v>100</v>
      </c>
      <c r="H19" s="5" t="s">
        <v>183</v>
      </c>
      <c r="I19" s="12" t="s">
        <v>25</v>
      </c>
      <c r="J19" s="13" t="n">
        <f aca="false">IFERROR(INDEX(Legend!$B$5:$B$7,MATCH(I19,Legend!$A$5:$A$7,0)),0)</f>
        <v>2</v>
      </c>
      <c r="K19" s="9" t="s">
        <v>23</v>
      </c>
      <c r="L19" s="9" t="s">
        <v>17</v>
      </c>
      <c r="M19" s="5" t="s">
        <v>107</v>
      </c>
      <c r="N19" s="9" t="s">
        <v>80</v>
      </c>
      <c r="O19" s="9"/>
    </row>
    <row r="20" customFormat="false" ht="23.85" hidden="false" customHeight="false" outlineLevel="0" collapsed="false">
      <c r="A20" s="5" t="s">
        <v>184</v>
      </c>
      <c r="B20" s="5" t="s">
        <v>9</v>
      </c>
      <c r="C20" s="5" t="s">
        <v>35</v>
      </c>
      <c r="D20" s="5" t="s">
        <v>185</v>
      </c>
      <c r="E20" s="5" t="s">
        <v>186</v>
      </c>
      <c r="F20" s="5" t="s">
        <v>187</v>
      </c>
      <c r="G20" s="5" t="s">
        <v>100</v>
      </c>
      <c r="H20" s="5" t="s">
        <v>164</v>
      </c>
      <c r="I20" s="12" t="s">
        <v>25</v>
      </c>
      <c r="J20" s="13" t="n">
        <f aca="false">IFERROR(INDEX(Legend!$B$5:$B$7,MATCH(I20,Legend!$A$5:$A$7,0)),0)</f>
        <v>2</v>
      </c>
      <c r="K20" s="9" t="s">
        <v>23</v>
      </c>
      <c r="L20" s="9" t="s">
        <v>18</v>
      </c>
      <c r="M20" s="5" t="s">
        <v>107</v>
      </c>
      <c r="N20" s="9" t="s">
        <v>80</v>
      </c>
      <c r="O20" s="9"/>
    </row>
    <row r="21" customFormat="false" ht="23.85" hidden="false" customHeight="false" outlineLevel="0" collapsed="false">
      <c r="A21" s="5" t="s">
        <v>188</v>
      </c>
      <c r="B21" s="5" t="s">
        <v>9</v>
      </c>
      <c r="C21" s="5" t="s">
        <v>41</v>
      </c>
      <c r="D21" s="5" t="s">
        <v>189</v>
      </c>
      <c r="E21" s="5" t="s">
        <v>190</v>
      </c>
      <c r="F21" s="5" t="s">
        <v>191</v>
      </c>
      <c r="G21" s="5" t="s">
        <v>100</v>
      </c>
      <c r="H21" s="5" t="s">
        <v>192</v>
      </c>
      <c r="I21" s="12" t="s">
        <v>26</v>
      </c>
      <c r="J21" s="13" t="n">
        <f aca="false">IFERROR(INDEX(Legend!$B$5:$B$7,MATCH(I21,Legend!$A$5:$A$7,0)),0)</f>
        <v>3</v>
      </c>
      <c r="K21" s="9" t="s">
        <v>22</v>
      </c>
      <c r="L21" s="9" t="s">
        <v>17</v>
      </c>
      <c r="M21" s="5" t="s">
        <v>107</v>
      </c>
      <c r="N21" s="9" t="s">
        <v>80</v>
      </c>
      <c r="O21" s="9"/>
    </row>
    <row r="22" customFormat="false" ht="23.85" hidden="false" customHeight="false" outlineLevel="0" collapsed="false">
      <c r="A22" s="5" t="s">
        <v>193</v>
      </c>
      <c r="B22" s="5" t="s">
        <v>9</v>
      </c>
      <c r="C22" s="5" t="s">
        <v>56</v>
      </c>
      <c r="D22" s="5" t="s">
        <v>194</v>
      </c>
      <c r="E22" s="5" t="s">
        <v>195</v>
      </c>
      <c r="F22" s="5" t="s">
        <v>196</v>
      </c>
      <c r="G22" s="5" t="s">
        <v>197</v>
      </c>
      <c r="H22" s="5" t="s">
        <v>198</v>
      </c>
      <c r="I22" s="12" t="s">
        <v>27</v>
      </c>
      <c r="J22" s="13" t="n">
        <f aca="false">IFERROR(INDEX(Legend!$B$5:$B$7,MATCH(I22,Legend!$A$5:$A$7,0)),0)</f>
        <v>8</v>
      </c>
      <c r="K22" s="9" t="s">
        <v>21</v>
      </c>
      <c r="L22" s="9" t="s">
        <v>17</v>
      </c>
      <c r="M22" s="5" t="s">
        <v>188</v>
      </c>
      <c r="N22" s="9" t="s">
        <v>80</v>
      </c>
      <c r="O22" s="9"/>
    </row>
    <row r="23" customFormat="false" ht="23.85" hidden="false" customHeight="false" outlineLevel="0" collapsed="false">
      <c r="A23" s="5" t="s">
        <v>199</v>
      </c>
      <c r="B23" s="5" t="s">
        <v>9</v>
      </c>
      <c r="C23" s="5" t="s">
        <v>56</v>
      </c>
      <c r="D23" s="5" t="s">
        <v>200</v>
      </c>
      <c r="E23" s="5" t="s">
        <v>201</v>
      </c>
      <c r="F23" s="5" t="s">
        <v>202</v>
      </c>
      <c r="G23" s="5" t="s">
        <v>100</v>
      </c>
      <c r="H23" s="5" t="s">
        <v>203</v>
      </c>
      <c r="I23" s="12" t="s">
        <v>25</v>
      </c>
      <c r="J23" s="13" t="n">
        <f aca="false">IFERROR(INDEX(Legend!$B$5:$B$7,MATCH(I23,Legend!$A$5:$A$7,0)),0)</f>
        <v>2</v>
      </c>
      <c r="K23" s="9" t="s">
        <v>22</v>
      </c>
      <c r="L23" s="9" t="s">
        <v>17</v>
      </c>
      <c r="M23" s="5" t="s">
        <v>193</v>
      </c>
      <c r="N23" s="9" t="s">
        <v>80</v>
      </c>
      <c r="O23" s="9"/>
    </row>
    <row r="24" customFormat="false" ht="23.85" hidden="false" customHeight="false" outlineLevel="0" collapsed="false">
      <c r="A24" s="5" t="s">
        <v>204</v>
      </c>
      <c r="B24" s="5" t="s">
        <v>9</v>
      </c>
      <c r="C24" s="5" t="s">
        <v>43</v>
      </c>
      <c r="D24" s="5" t="s">
        <v>205</v>
      </c>
      <c r="E24" s="5" t="s">
        <v>206</v>
      </c>
      <c r="F24" s="5" t="s">
        <v>207</v>
      </c>
      <c r="G24" s="5" t="s">
        <v>43</v>
      </c>
      <c r="H24" s="5" t="s">
        <v>198</v>
      </c>
      <c r="I24" s="12" t="s">
        <v>25</v>
      </c>
      <c r="J24" s="13" t="n">
        <f aca="false">IFERROR(INDEX(Legend!$B$5:$B$7,MATCH(I24,Legend!$A$5:$A$7,0)),0)</f>
        <v>2</v>
      </c>
      <c r="K24" s="9" t="s">
        <v>23</v>
      </c>
      <c r="L24" s="9" t="s">
        <v>18</v>
      </c>
      <c r="M24" s="5"/>
      <c r="N24" s="9" t="s">
        <v>80</v>
      </c>
      <c r="O24" s="9"/>
    </row>
    <row r="25" customFormat="false" ht="23.85" hidden="false" customHeight="false" outlineLevel="0" collapsed="false">
      <c r="A25" s="5" t="s">
        <v>208</v>
      </c>
      <c r="B25" s="5" t="s">
        <v>9</v>
      </c>
      <c r="C25" s="5" t="s">
        <v>45</v>
      </c>
      <c r="D25" s="5" t="s">
        <v>209</v>
      </c>
      <c r="E25" s="5" t="s">
        <v>210</v>
      </c>
      <c r="F25" s="5" t="s">
        <v>211</v>
      </c>
      <c r="G25" s="5" t="s">
        <v>100</v>
      </c>
      <c r="H25" s="5" t="s">
        <v>212</v>
      </c>
      <c r="I25" s="12" t="s">
        <v>25</v>
      </c>
      <c r="J25" s="13" t="n">
        <f aca="false">IFERROR(INDEX(Legend!$B$5:$B$7,MATCH(I25,Legend!$A$5:$A$7,0)),0)</f>
        <v>2</v>
      </c>
      <c r="K25" s="9" t="s">
        <v>23</v>
      </c>
      <c r="L25" s="9" t="s">
        <v>18</v>
      </c>
      <c r="M25" s="5" t="s">
        <v>213</v>
      </c>
      <c r="N25" s="9" t="s">
        <v>80</v>
      </c>
      <c r="O25" s="9"/>
    </row>
    <row r="26" customFormat="false" ht="23.85" hidden="false" customHeight="false" outlineLevel="0" collapsed="false">
      <c r="A26" s="5" t="s">
        <v>214</v>
      </c>
      <c r="B26" s="5" t="s">
        <v>9</v>
      </c>
      <c r="C26" s="5" t="s">
        <v>54</v>
      </c>
      <c r="D26" s="5" t="s">
        <v>215</v>
      </c>
      <c r="E26" s="5" t="s">
        <v>216</v>
      </c>
      <c r="F26" s="5" t="s">
        <v>217</v>
      </c>
      <c r="G26" s="5" t="s">
        <v>100</v>
      </c>
      <c r="H26" s="5" t="s">
        <v>218</v>
      </c>
      <c r="I26" s="12" t="s">
        <v>27</v>
      </c>
      <c r="J26" s="13" t="n">
        <f aca="false">IFERROR(INDEX(Legend!$B$5:$B$7,MATCH(I26,Legend!$A$5:$A$7,0)),0)</f>
        <v>8</v>
      </c>
      <c r="K26" s="9" t="s">
        <v>21</v>
      </c>
      <c r="L26" s="9" t="s">
        <v>17</v>
      </c>
      <c r="M26" s="5" t="s">
        <v>219</v>
      </c>
      <c r="N26" s="9" t="s">
        <v>80</v>
      </c>
      <c r="O26" s="9"/>
    </row>
    <row r="27" customFormat="false" ht="23.85" hidden="false" customHeight="false" outlineLevel="0" collapsed="false">
      <c r="A27" s="5" t="s">
        <v>220</v>
      </c>
      <c r="B27" s="5" t="s">
        <v>9</v>
      </c>
      <c r="C27" s="5" t="s">
        <v>33</v>
      </c>
      <c r="D27" s="5" t="s">
        <v>221</v>
      </c>
      <c r="E27" s="5" t="s">
        <v>222</v>
      </c>
      <c r="F27" s="5" t="s">
        <v>223</v>
      </c>
      <c r="G27" s="5" t="s">
        <v>100</v>
      </c>
      <c r="H27" s="5" t="s">
        <v>224</v>
      </c>
      <c r="I27" s="12" t="s">
        <v>26</v>
      </c>
      <c r="J27" s="13" t="n">
        <f aca="false">IFERROR(INDEX(Legend!$B$5:$B$7,MATCH(I27,Legend!$A$5:$A$7,0)),0)</f>
        <v>3</v>
      </c>
      <c r="K27" s="9" t="s">
        <v>22</v>
      </c>
      <c r="L27" s="9" t="s">
        <v>17</v>
      </c>
      <c r="M27" s="5" t="s">
        <v>96</v>
      </c>
      <c r="N27" s="9" t="s">
        <v>80</v>
      </c>
      <c r="O27" s="9"/>
    </row>
    <row r="28" customFormat="false" ht="23.85" hidden="false" customHeight="false" outlineLevel="0" collapsed="false">
      <c r="A28" s="5" t="s">
        <v>225</v>
      </c>
      <c r="B28" s="5" t="s">
        <v>10</v>
      </c>
      <c r="C28" s="5" t="s">
        <v>33</v>
      </c>
      <c r="D28" s="5" t="s">
        <v>226</v>
      </c>
      <c r="E28" s="5" t="s">
        <v>227</v>
      </c>
      <c r="F28" s="5" t="s">
        <v>228</v>
      </c>
      <c r="G28" s="5" t="s">
        <v>229</v>
      </c>
      <c r="H28" s="5" t="s">
        <v>230</v>
      </c>
      <c r="I28" s="12" t="s">
        <v>25</v>
      </c>
      <c r="J28" s="13" t="n">
        <f aca="false">IFERROR(INDEX(Legend!$B$5:$B$7,MATCH(I28,Legend!$A$5:$A$7,0)),0)</f>
        <v>2</v>
      </c>
      <c r="K28" s="9" t="s">
        <v>23</v>
      </c>
      <c r="L28" s="9" t="s">
        <v>17</v>
      </c>
      <c r="M28" s="5" t="s">
        <v>214</v>
      </c>
      <c r="N28" s="9" t="s">
        <v>80</v>
      </c>
      <c r="O28" s="9"/>
    </row>
    <row r="29" customFormat="false" ht="23.85" hidden="false" customHeight="false" outlineLevel="0" collapsed="false">
      <c r="A29" s="5" t="s">
        <v>231</v>
      </c>
      <c r="B29" s="5" t="s">
        <v>10</v>
      </c>
      <c r="C29" s="5" t="s">
        <v>41</v>
      </c>
      <c r="D29" s="5" t="s">
        <v>232</v>
      </c>
      <c r="E29" s="5" t="s">
        <v>233</v>
      </c>
      <c r="F29" s="5" t="s">
        <v>234</v>
      </c>
      <c r="G29" s="5" t="s">
        <v>229</v>
      </c>
      <c r="H29" s="5" t="s">
        <v>235</v>
      </c>
      <c r="I29" s="12" t="s">
        <v>26</v>
      </c>
      <c r="J29" s="13" t="n">
        <f aca="false">IFERROR(INDEX(Legend!$B$5:$B$7,MATCH(I29,Legend!$A$5:$A$7,0)),0)</f>
        <v>3</v>
      </c>
      <c r="K29" s="9" t="s">
        <v>22</v>
      </c>
      <c r="L29" s="9" t="s">
        <v>17</v>
      </c>
      <c r="M29" s="5" t="s">
        <v>225</v>
      </c>
      <c r="N29" s="9" t="s">
        <v>80</v>
      </c>
      <c r="O29" s="9"/>
    </row>
    <row r="30" customFormat="false" ht="23.85" hidden="false" customHeight="false" outlineLevel="0" collapsed="false">
      <c r="A30" s="5" t="s">
        <v>236</v>
      </c>
      <c r="B30" s="5" t="s">
        <v>10</v>
      </c>
      <c r="C30" s="5" t="s">
        <v>42</v>
      </c>
      <c r="D30" s="5" t="s">
        <v>237</v>
      </c>
      <c r="E30" s="5" t="s">
        <v>238</v>
      </c>
      <c r="F30" s="5" t="s">
        <v>239</v>
      </c>
      <c r="G30" s="5" t="s">
        <v>240</v>
      </c>
      <c r="H30" s="5" t="s">
        <v>235</v>
      </c>
      <c r="I30" s="12" t="s">
        <v>26</v>
      </c>
      <c r="J30" s="13" t="n">
        <f aca="false">IFERROR(INDEX(Legend!$B$5:$B$7,MATCH(I30,Legend!$A$5:$A$7,0)),0)</f>
        <v>3</v>
      </c>
      <c r="K30" s="9" t="s">
        <v>22</v>
      </c>
      <c r="L30" s="9" t="s">
        <v>17</v>
      </c>
      <c r="M30" s="5" t="s">
        <v>231</v>
      </c>
      <c r="N30" s="9" t="s">
        <v>80</v>
      </c>
      <c r="O30" s="9"/>
    </row>
    <row r="31" customFormat="false" ht="23.85" hidden="false" customHeight="false" outlineLevel="0" collapsed="false">
      <c r="A31" s="5" t="s">
        <v>241</v>
      </c>
      <c r="B31" s="5" t="s">
        <v>10</v>
      </c>
      <c r="C31" s="5" t="s">
        <v>35</v>
      </c>
      <c r="D31" s="5" t="s">
        <v>242</v>
      </c>
      <c r="E31" s="5" t="s">
        <v>243</v>
      </c>
      <c r="F31" s="5" t="s">
        <v>244</v>
      </c>
      <c r="G31" s="5" t="s">
        <v>229</v>
      </c>
      <c r="H31" s="5" t="s">
        <v>140</v>
      </c>
      <c r="I31" s="12" t="s">
        <v>26</v>
      </c>
      <c r="J31" s="13" t="n">
        <f aca="false">IFERROR(INDEX(Legend!$B$5:$B$7,MATCH(I31,Legend!$A$5:$A$7,0)),0)</f>
        <v>3</v>
      </c>
      <c r="K31" s="9" t="s">
        <v>22</v>
      </c>
      <c r="L31" s="9" t="s">
        <v>17</v>
      </c>
      <c r="M31" s="5" t="s">
        <v>245</v>
      </c>
      <c r="N31" s="9" t="s">
        <v>80</v>
      </c>
      <c r="O31" s="9"/>
    </row>
    <row r="32" customFormat="false" ht="15" hidden="false" customHeight="false" outlineLevel="0" collapsed="false">
      <c r="A32" s="5" t="s">
        <v>246</v>
      </c>
      <c r="B32" s="5" t="s">
        <v>10</v>
      </c>
      <c r="C32" s="5" t="s">
        <v>54</v>
      </c>
      <c r="D32" s="5" t="s">
        <v>247</v>
      </c>
      <c r="E32" s="5" t="s">
        <v>248</v>
      </c>
      <c r="F32" s="5" t="s">
        <v>249</v>
      </c>
      <c r="G32" s="5" t="s">
        <v>229</v>
      </c>
      <c r="H32" s="5" t="s">
        <v>140</v>
      </c>
      <c r="I32" s="12" t="s">
        <v>25</v>
      </c>
      <c r="J32" s="13" t="n">
        <f aca="false">IFERROR(INDEX(Legend!$B$5:$B$7,MATCH(I32,Legend!$A$5:$A$7,0)),0)</f>
        <v>2</v>
      </c>
      <c r="K32" s="9" t="s">
        <v>23</v>
      </c>
      <c r="L32" s="9" t="s">
        <v>18</v>
      </c>
      <c r="M32" s="5" t="s">
        <v>241</v>
      </c>
      <c r="N32" s="9" t="s">
        <v>80</v>
      </c>
      <c r="O32" s="9"/>
    </row>
    <row r="33" customFormat="false" ht="15" hidden="false" customHeight="false" outlineLevel="0" collapsed="false">
      <c r="A33" s="5" t="s">
        <v>250</v>
      </c>
      <c r="B33" s="5" t="s">
        <v>10</v>
      </c>
      <c r="C33" s="5" t="s">
        <v>36</v>
      </c>
      <c r="D33" s="5" t="s">
        <v>251</v>
      </c>
      <c r="E33" s="5" t="s">
        <v>252</v>
      </c>
      <c r="F33" s="5" t="s">
        <v>253</v>
      </c>
      <c r="G33" s="5" t="s">
        <v>229</v>
      </c>
      <c r="H33" s="5" t="s">
        <v>111</v>
      </c>
      <c r="I33" s="12" t="s">
        <v>25</v>
      </c>
      <c r="J33" s="13" t="n">
        <f aca="false">IFERROR(INDEX(Legend!$B$5:$B$7,MATCH(I33,Legend!$A$5:$A$7,0)),0)</f>
        <v>2</v>
      </c>
      <c r="K33" s="9" t="s">
        <v>23</v>
      </c>
      <c r="L33" s="9" t="s">
        <v>17</v>
      </c>
      <c r="M33" s="5" t="s">
        <v>254</v>
      </c>
      <c r="N33" s="9" t="s">
        <v>80</v>
      </c>
      <c r="O33" s="9"/>
    </row>
    <row r="34" customFormat="false" ht="23.85" hidden="false" customHeight="false" outlineLevel="0" collapsed="false">
      <c r="A34" s="5" t="s">
        <v>255</v>
      </c>
      <c r="B34" s="5" t="s">
        <v>10</v>
      </c>
      <c r="C34" s="5" t="s">
        <v>41</v>
      </c>
      <c r="D34" s="5" t="s">
        <v>256</v>
      </c>
      <c r="E34" s="5" t="s">
        <v>257</v>
      </c>
      <c r="F34" s="5" t="s">
        <v>258</v>
      </c>
      <c r="G34" s="5" t="s">
        <v>229</v>
      </c>
      <c r="H34" s="5" t="s">
        <v>192</v>
      </c>
      <c r="I34" s="12" t="s">
        <v>26</v>
      </c>
      <c r="J34" s="13" t="n">
        <f aca="false">IFERROR(INDEX(Legend!$B$5:$B$7,MATCH(I34,Legend!$A$5:$A$7,0)),0)</f>
        <v>3</v>
      </c>
      <c r="K34" s="9" t="s">
        <v>22</v>
      </c>
      <c r="L34" s="9" t="s">
        <v>17</v>
      </c>
      <c r="M34" s="5" t="s">
        <v>259</v>
      </c>
      <c r="N34" s="9" t="s">
        <v>80</v>
      </c>
      <c r="O34" s="9"/>
    </row>
    <row r="35" customFormat="false" ht="15" hidden="false" customHeight="false" outlineLevel="0" collapsed="false">
      <c r="A35" s="5" t="s">
        <v>260</v>
      </c>
      <c r="B35" s="5" t="s">
        <v>10</v>
      </c>
      <c r="C35" s="5" t="s">
        <v>41</v>
      </c>
      <c r="D35" s="5" t="s">
        <v>261</v>
      </c>
      <c r="E35" s="5" t="s">
        <v>262</v>
      </c>
      <c r="F35" s="5" t="s">
        <v>263</v>
      </c>
      <c r="G35" s="5" t="s">
        <v>229</v>
      </c>
      <c r="H35" s="5" t="s">
        <v>192</v>
      </c>
      <c r="I35" s="12" t="s">
        <v>26</v>
      </c>
      <c r="J35" s="13" t="n">
        <f aca="false">IFERROR(INDEX(Legend!$B$5:$B$7,MATCH(I35,Legend!$A$5:$A$7,0)),0)</f>
        <v>3</v>
      </c>
      <c r="K35" s="9" t="s">
        <v>22</v>
      </c>
      <c r="L35" s="9" t="s">
        <v>18</v>
      </c>
      <c r="M35" s="5" t="s">
        <v>255</v>
      </c>
      <c r="N35" s="9" t="s">
        <v>80</v>
      </c>
      <c r="O35" s="9"/>
    </row>
    <row r="36" customFormat="false" ht="23.85" hidden="false" customHeight="false" outlineLevel="0" collapsed="false">
      <c r="A36" s="5" t="s">
        <v>264</v>
      </c>
      <c r="B36" s="5" t="s">
        <v>10</v>
      </c>
      <c r="C36" s="5" t="s">
        <v>52</v>
      </c>
      <c r="D36" s="5" t="s">
        <v>265</v>
      </c>
      <c r="E36" s="5" t="s">
        <v>266</v>
      </c>
      <c r="F36" s="5" t="s">
        <v>267</v>
      </c>
      <c r="G36" s="5" t="s">
        <v>229</v>
      </c>
      <c r="H36" s="5" t="s">
        <v>268</v>
      </c>
      <c r="I36" s="12" t="s">
        <v>26</v>
      </c>
      <c r="J36" s="13" t="n">
        <f aca="false">IFERROR(INDEX(Legend!$B$5:$B$7,MATCH(I36,Legend!$A$5:$A$7,0)),0)</f>
        <v>3</v>
      </c>
      <c r="K36" s="9" t="s">
        <v>21</v>
      </c>
      <c r="L36" s="9" t="s">
        <v>17</v>
      </c>
      <c r="M36" s="5" t="s">
        <v>231</v>
      </c>
      <c r="N36" s="9" t="s">
        <v>80</v>
      </c>
      <c r="O36" s="9"/>
    </row>
    <row r="37" customFormat="false" ht="23.85" hidden="false" customHeight="false" outlineLevel="0" collapsed="false">
      <c r="A37" s="5" t="s">
        <v>269</v>
      </c>
      <c r="B37" s="5" t="s">
        <v>10</v>
      </c>
      <c r="C37" s="5" t="s">
        <v>52</v>
      </c>
      <c r="D37" s="5" t="s">
        <v>270</v>
      </c>
      <c r="E37" s="5" t="s">
        <v>271</v>
      </c>
      <c r="F37" s="5" t="s">
        <v>272</v>
      </c>
      <c r="G37" s="5" t="s">
        <v>273</v>
      </c>
      <c r="H37" s="5" t="s">
        <v>268</v>
      </c>
      <c r="I37" s="12" t="s">
        <v>26</v>
      </c>
      <c r="J37" s="13" t="n">
        <f aca="false">IFERROR(INDEX(Legend!$B$5:$B$7,MATCH(I37,Legend!$A$5:$A$7,0)),0)</f>
        <v>3</v>
      </c>
      <c r="K37" s="9" t="s">
        <v>21</v>
      </c>
      <c r="L37" s="9" t="s">
        <v>17</v>
      </c>
      <c r="M37" s="5" t="s">
        <v>274</v>
      </c>
      <c r="N37" s="9" t="s">
        <v>80</v>
      </c>
      <c r="O37" s="9"/>
    </row>
    <row r="38" customFormat="false" ht="15" hidden="false" customHeight="false" outlineLevel="0" collapsed="false">
      <c r="A38" s="5" t="s">
        <v>275</v>
      </c>
      <c r="B38" s="5" t="s">
        <v>10</v>
      </c>
      <c r="C38" s="5" t="s">
        <v>51</v>
      </c>
      <c r="D38" s="5" t="s">
        <v>276</v>
      </c>
      <c r="E38" s="5" t="s">
        <v>277</v>
      </c>
      <c r="F38" s="5" t="s">
        <v>278</v>
      </c>
      <c r="G38" s="5" t="s">
        <v>229</v>
      </c>
      <c r="H38" s="5" t="s">
        <v>224</v>
      </c>
      <c r="I38" s="12" t="s">
        <v>25</v>
      </c>
      <c r="J38" s="13" t="n">
        <f aca="false">IFERROR(INDEX(Legend!$B$5:$B$7,MATCH(I38,Legend!$A$5:$A$7,0)),0)</f>
        <v>2</v>
      </c>
      <c r="K38" s="9" t="s">
        <v>23</v>
      </c>
      <c r="L38" s="9" t="s">
        <v>17</v>
      </c>
      <c r="M38" s="5" t="s">
        <v>279</v>
      </c>
      <c r="N38" s="9" t="s">
        <v>80</v>
      </c>
      <c r="O38" s="9"/>
    </row>
    <row r="39" customFormat="false" ht="23.85" hidden="false" customHeight="false" outlineLevel="0" collapsed="false">
      <c r="A39" s="5" t="s">
        <v>280</v>
      </c>
      <c r="B39" s="5" t="s">
        <v>10</v>
      </c>
      <c r="C39" s="5" t="s">
        <v>53</v>
      </c>
      <c r="D39" s="5" t="s">
        <v>281</v>
      </c>
      <c r="E39" s="5" t="s">
        <v>282</v>
      </c>
      <c r="F39" s="5" t="s">
        <v>283</v>
      </c>
      <c r="G39" s="5" t="s">
        <v>273</v>
      </c>
      <c r="H39" s="5" t="s">
        <v>268</v>
      </c>
      <c r="I39" s="12" t="s">
        <v>26</v>
      </c>
      <c r="J39" s="13" t="n">
        <f aca="false">IFERROR(INDEX(Legend!$B$5:$B$7,MATCH(I39,Legend!$A$5:$A$7,0)),0)</f>
        <v>3</v>
      </c>
      <c r="K39" s="9" t="s">
        <v>22</v>
      </c>
      <c r="L39" s="9" t="s">
        <v>17</v>
      </c>
      <c r="M39" s="5" t="s">
        <v>264</v>
      </c>
      <c r="N39" s="9" t="s">
        <v>80</v>
      </c>
      <c r="O39" s="9"/>
    </row>
    <row r="40" customFormat="false" ht="15" hidden="false" customHeight="false" outlineLevel="0" collapsed="false">
      <c r="A40" s="5" t="s">
        <v>284</v>
      </c>
      <c r="B40" s="5" t="s">
        <v>10</v>
      </c>
      <c r="C40" s="5" t="s">
        <v>35</v>
      </c>
      <c r="D40" s="5" t="s">
        <v>285</v>
      </c>
      <c r="E40" s="5" t="s">
        <v>286</v>
      </c>
      <c r="F40" s="5" t="s">
        <v>287</v>
      </c>
      <c r="G40" s="5" t="s">
        <v>229</v>
      </c>
      <c r="H40" s="5" t="s">
        <v>224</v>
      </c>
      <c r="I40" s="12" t="s">
        <v>25</v>
      </c>
      <c r="J40" s="13" t="n">
        <f aca="false">IFERROR(INDEX(Legend!$B$5:$B$7,MATCH(I40,Legend!$A$5:$A$7,0)),0)</f>
        <v>2</v>
      </c>
      <c r="K40" s="9" t="s">
        <v>23</v>
      </c>
      <c r="L40" s="9" t="s">
        <v>18</v>
      </c>
      <c r="M40" s="5" t="s">
        <v>241</v>
      </c>
      <c r="N40" s="9" t="s">
        <v>80</v>
      </c>
      <c r="O40" s="9"/>
    </row>
    <row r="41" customFormat="false" ht="15" hidden="false" customHeight="false" outlineLevel="0" collapsed="false">
      <c r="A41" s="5" t="s">
        <v>288</v>
      </c>
      <c r="B41" s="5" t="s">
        <v>11</v>
      </c>
      <c r="C41" s="5" t="s">
        <v>33</v>
      </c>
      <c r="D41" s="5" t="s">
        <v>289</v>
      </c>
      <c r="E41" s="5" t="s">
        <v>290</v>
      </c>
      <c r="F41" s="5" t="s">
        <v>291</v>
      </c>
      <c r="G41" s="5" t="s">
        <v>292</v>
      </c>
      <c r="H41" s="5" t="s">
        <v>203</v>
      </c>
      <c r="I41" s="12" t="s">
        <v>25</v>
      </c>
      <c r="J41" s="13" t="n">
        <f aca="false">IFERROR(INDEX(Legend!$B$5:$B$7,MATCH(I41,Legend!$A$5:$A$7,0)),0)</f>
        <v>2</v>
      </c>
      <c r="K41" s="9" t="s">
        <v>23</v>
      </c>
      <c r="L41" s="9" t="s">
        <v>17</v>
      </c>
      <c r="M41" s="5" t="s">
        <v>225</v>
      </c>
      <c r="N41" s="9" t="s">
        <v>80</v>
      </c>
      <c r="O41" s="9"/>
    </row>
    <row r="42" customFormat="false" ht="23.85" hidden="false" customHeight="false" outlineLevel="0" collapsed="false">
      <c r="A42" s="5" t="s">
        <v>293</v>
      </c>
      <c r="B42" s="5" t="s">
        <v>11</v>
      </c>
      <c r="C42" s="5" t="s">
        <v>52</v>
      </c>
      <c r="D42" s="5" t="s">
        <v>294</v>
      </c>
      <c r="E42" s="5" t="s">
        <v>295</v>
      </c>
      <c r="F42" s="5" t="s">
        <v>296</v>
      </c>
      <c r="G42" s="5" t="s">
        <v>292</v>
      </c>
      <c r="H42" s="5" t="s">
        <v>268</v>
      </c>
      <c r="I42" s="12" t="s">
        <v>25</v>
      </c>
      <c r="J42" s="13" t="n">
        <f aca="false">IFERROR(INDEX(Legend!$B$5:$B$7,MATCH(I42,Legend!$A$5:$A$7,0)),0)</f>
        <v>2</v>
      </c>
      <c r="K42" s="9" t="s">
        <v>22</v>
      </c>
      <c r="L42" s="9" t="s">
        <v>17</v>
      </c>
      <c r="M42" s="5" t="s">
        <v>288</v>
      </c>
      <c r="N42" s="9" t="s">
        <v>80</v>
      </c>
      <c r="O42" s="9"/>
    </row>
    <row r="43" customFormat="false" ht="23.85" hidden="false" customHeight="false" outlineLevel="0" collapsed="false">
      <c r="A43" s="5" t="s">
        <v>297</v>
      </c>
      <c r="B43" s="5" t="s">
        <v>11</v>
      </c>
      <c r="C43" s="5" t="s">
        <v>52</v>
      </c>
      <c r="D43" s="5" t="s">
        <v>298</v>
      </c>
      <c r="E43" s="5" t="s">
        <v>299</v>
      </c>
      <c r="F43" s="5" t="s">
        <v>300</v>
      </c>
      <c r="G43" s="5" t="s">
        <v>292</v>
      </c>
      <c r="H43" s="5" t="s">
        <v>301</v>
      </c>
      <c r="I43" s="12" t="s">
        <v>25</v>
      </c>
      <c r="J43" s="13" t="n">
        <f aca="false">IFERROR(INDEX(Legend!$B$5:$B$7,MATCH(I43,Legend!$A$5:$A$7,0)),0)</f>
        <v>2</v>
      </c>
      <c r="K43" s="9" t="s">
        <v>22</v>
      </c>
      <c r="L43" s="9" t="s">
        <v>17</v>
      </c>
      <c r="M43" s="5" t="s">
        <v>293</v>
      </c>
      <c r="N43" s="9" t="s">
        <v>80</v>
      </c>
      <c r="O43" s="9"/>
    </row>
    <row r="44" customFormat="false" ht="23.85" hidden="false" customHeight="false" outlineLevel="0" collapsed="false">
      <c r="A44" s="5" t="s">
        <v>302</v>
      </c>
      <c r="B44" s="5" t="s">
        <v>11</v>
      </c>
      <c r="C44" s="5" t="s">
        <v>57</v>
      </c>
      <c r="D44" s="5" t="s">
        <v>303</v>
      </c>
      <c r="E44" s="5" t="s">
        <v>304</v>
      </c>
      <c r="F44" s="5" t="s">
        <v>305</v>
      </c>
      <c r="G44" s="5" t="s">
        <v>292</v>
      </c>
      <c r="H44" s="5" t="s">
        <v>198</v>
      </c>
      <c r="I44" s="12" t="s">
        <v>26</v>
      </c>
      <c r="J44" s="13" t="n">
        <f aca="false">IFERROR(INDEX(Legend!$B$5:$B$7,MATCH(I44,Legend!$A$5:$A$7,0)),0)</f>
        <v>3</v>
      </c>
      <c r="K44" s="9" t="s">
        <v>23</v>
      </c>
      <c r="L44" s="9" t="s">
        <v>17</v>
      </c>
      <c r="M44" s="5" t="s">
        <v>306</v>
      </c>
      <c r="N44" s="9" t="s">
        <v>80</v>
      </c>
      <c r="O44" s="9"/>
    </row>
    <row r="45" customFormat="false" ht="23.85" hidden="false" customHeight="false" outlineLevel="0" collapsed="false">
      <c r="A45" s="5" t="s">
        <v>307</v>
      </c>
      <c r="B45" s="5" t="s">
        <v>11</v>
      </c>
      <c r="C45" s="5" t="s">
        <v>36</v>
      </c>
      <c r="D45" s="5" t="s">
        <v>308</v>
      </c>
      <c r="E45" s="5" t="s">
        <v>309</v>
      </c>
      <c r="F45" s="5" t="s">
        <v>310</v>
      </c>
      <c r="G45" s="5" t="s">
        <v>292</v>
      </c>
      <c r="H45" s="5" t="s">
        <v>198</v>
      </c>
      <c r="I45" s="12" t="s">
        <v>25</v>
      </c>
      <c r="J45" s="13" t="n">
        <f aca="false">IFERROR(INDEX(Legend!$B$5:$B$7,MATCH(I45,Legend!$A$5:$A$7,0)),0)</f>
        <v>2</v>
      </c>
      <c r="K45" s="9" t="s">
        <v>23</v>
      </c>
      <c r="L45" s="9" t="s">
        <v>17</v>
      </c>
      <c r="M45" s="5" t="s">
        <v>311</v>
      </c>
      <c r="N45" s="9" t="s">
        <v>80</v>
      </c>
      <c r="O45" s="9"/>
    </row>
    <row r="46" customFormat="false" ht="23.85" hidden="false" customHeight="false" outlineLevel="0" collapsed="false">
      <c r="A46" s="5" t="s">
        <v>312</v>
      </c>
      <c r="B46" s="5" t="s">
        <v>11</v>
      </c>
      <c r="C46" s="5" t="s">
        <v>56</v>
      </c>
      <c r="D46" s="5" t="s">
        <v>313</v>
      </c>
      <c r="E46" s="5" t="s">
        <v>314</v>
      </c>
      <c r="F46" s="5" t="s">
        <v>315</v>
      </c>
      <c r="G46" s="5" t="s">
        <v>100</v>
      </c>
      <c r="H46" s="5" t="s">
        <v>198</v>
      </c>
      <c r="I46" s="12" t="s">
        <v>26</v>
      </c>
      <c r="J46" s="13" t="n">
        <f aca="false">IFERROR(INDEX(Legend!$B$5:$B$7,MATCH(I46,Legend!$A$5:$A$7,0)),0)</f>
        <v>3</v>
      </c>
      <c r="K46" s="9" t="s">
        <v>22</v>
      </c>
      <c r="L46" s="9" t="s">
        <v>18</v>
      </c>
      <c r="M46" s="5" t="s">
        <v>193</v>
      </c>
      <c r="N46" s="9" t="s">
        <v>80</v>
      </c>
      <c r="O46" s="9"/>
    </row>
    <row r="47" customFormat="false" ht="23.85" hidden="false" customHeight="false" outlineLevel="0" collapsed="false">
      <c r="A47" s="5" t="s">
        <v>316</v>
      </c>
      <c r="B47" s="5" t="s">
        <v>11</v>
      </c>
      <c r="C47" s="5" t="s">
        <v>58</v>
      </c>
      <c r="D47" s="5" t="s">
        <v>317</v>
      </c>
      <c r="E47" s="5" t="s">
        <v>318</v>
      </c>
      <c r="F47" s="5" t="s">
        <v>319</v>
      </c>
      <c r="G47" s="5" t="s">
        <v>229</v>
      </c>
      <c r="H47" s="5" t="s">
        <v>198</v>
      </c>
      <c r="I47" s="12" t="s">
        <v>26</v>
      </c>
      <c r="J47" s="13" t="n">
        <f aca="false">IFERROR(INDEX(Legend!$B$5:$B$7,MATCH(I47,Legend!$A$5:$A$7,0)),0)</f>
        <v>3</v>
      </c>
      <c r="K47" s="9" t="s">
        <v>22</v>
      </c>
      <c r="L47" s="9" t="s">
        <v>17</v>
      </c>
      <c r="M47" s="5" t="s">
        <v>241</v>
      </c>
      <c r="N47" s="9" t="s">
        <v>80</v>
      </c>
      <c r="O47" s="9"/>
    </row>
    <row r="48" customFormat="false" ht="23.85" hidden="false" customHeight="false" outlineLevel="0" collapsed="false">
      <c r="A48" s="5" t="s">
        <v>320</v>
      </c>
      <c r="B48" s="5" t="s">
        <v>11</v>
      </c>
      <c r="C48" s="5" t="s">
        <v>52</v>
      </c>
      <c r="D48" s="5" t="s">
        <v>321</v>
      </c>
      <c r="E48" s="5" t="s">
        <v>322</v>
      </c>
      <c r="F48" s="5" t="s">
        <v>323</v>
      </c>
      <c r="G48" s="5" t="s">
        <v>292</v>
      </c>
      <c r="H48" s="5" t="s">
        <v>268</v>
      </c>
      <c r="I48" s="12" t="s">
        <v>27</v>
      </c>
      <c r="J48" s="13" t="n">
        <f aca="false">IFERROR(INDEX(Legend!$B$5:$B$7,MATCH(I48,Legend!$A$5:$A$7,0)),0)</f>
        <v>8</v>
      </c>
      <c r="K48" s="9" t="s">
        <v>21</v>
      </c>
      <c r="L48" s="9" t="s">
        <v>17</v>
      </c>
      <c r="M48" s="5" t="s">
        <v>297</v>
      </c>
      <c r="N48" s="9" t="s">
        <v>80</v>
      </c>
      <c r="O48" s="9"/>
    </row>
    <row r="49" customFormat="false" ht="23.85" hidden="false" customHeight="false" outlineLevel="0" collapsed="false">
      <c r="A49" s="5" t="s">
        <v>324</v>
      </c>
      <c r="B49" s="5" t="s">
        <v>11</v>
      </c>
      <c r="C49" s="5" t="s">
        <v>56</v>
      </c>
      <c r="D49" s="5" t="s">
        <v>325</v>
      </c>
      <c r="E49" s="5" t="s">
        <v>326</v>
      </c>
      <c r="F49" s="5" t="s">
        <v>327</v>
      </c>
      <c r="G49" s="5" t="s">
        <v>292</v>
      </c>
      <c r="H49" s="5" t="s">
        <v>198</v>
      </c>
      <c r="I49" s="12" t="s">
        <v>25</v>
      </c>
      <c r="J49" s="13" t="n">
        <f aca="false">IFERROR(INDEX(Legend!$B$5:$B$7,MATCH(I49,Legend!$A$5:$A$7,0)),0)</f>
        <v>2</v>
      </c>
      <c r="K49" s="9" t="s">
        <v>23</v>
      </c>
      <c r="L49" s="9" t="s">
        <v>17</v>
      </c>
      <c r="M49" s="5" t="s">
        <v>328</v>
      </c>
      <c r="N49" s="9" t="s">
        <v>80</v>
      </c>
      <c r="O49" s="9"/>
    </row>
    <row r="50" customFormat="false" ht="23.85" hidden="false" customHeight="false" outlineLevel="0" collapsed="false">
      <c r="A50" s="5" t="s">
        <v>329</v>
      </c>
      <c r="B50" s="5" t="s">
        <v>11</v>
      </c>
      <c r="C50" s="5" t="s">
        <v>54</v>
      </c>
      <c r="D50" s="5" t="s">
        <v>330</v>
      </c>
      <c r="E50" s="5" t="s">
        <v>331</v>
      </c>
      <c r="F50" s="5" t="s">
        <v>332</v>
      </c>
      <c r="G50" s="5" t="s">
        <v>43</v>
      </c>
      <c r="H50" s="5" t="s">
        <v>333</v>
      </c>
      <c r="I50" s="12" t="s">
        <v>26</v>
      </c>
      <c r="J50" s="13" t="n">
        <f aca="false">IFERROR(INDEX(Legend!$B$5:$B$7,MATCH(I50,Legend!$A$5:$A$7,0)),0)</f>
        <v>3</v>
      </c>
      <c r="K50" s="9" t="s">
        <v>22</v>
      </c>
      <c r="L50" s="9" t="s">
        <v>17</v>
      </c>
      <c r="M50" s="5" t="s">
        <v>307</v>
      </c>
      <c r="N50" s="9" t="s">
        <v>80</v>
      </c>
      <c r="O50" s="9"/>
    </row>
    <row r="51" customFormat="false" ht="23.85" hidden="false" customHeight="false" outlineLevel="0" collapsed="false">
      <c r="A51" s="5" t="s">
        <v>334</v>
      </c>
      <c r="B51" s="5" t="s">
        <v>12</v>
      </c>
      <c r="C51" s="5" t="s">
        <v>35</v>
      </c>
      <c r="D51" s="5" t="s">
        <v>335</v>
      </c>
      <c r="E51" s="5" t="s">
        <v>336</v>
      </c>
      <c r="F51" s="5" t="s">
        <v>337</v>
      </c>
      <c r="G51" s="5" t="s">
        <v>229</v>
      </c>
      <c r="H51" s="5" t="s">
        <v>140</v>
      </c>
      <c r="I51" s="12" t="s">
        <v>26</v>
      </c>
      <c r="J51" s="13" t="n">
        <f aca="false">IFERROR(INDEX(Legend!$B$5:$B$7,MATCH(I51,Legend!$A$5:$A$7,0)),0)</f>
        <v>3</v>
      </c>
      <c r="K51" s="9" t="s">
        <v>22</v>
      </c>
      <c r="L51" s="9" t="s">
        <v>17</v>
      </c>
      <c r="M51" s="5" t="s">
        <v>338</v>
      </c>
      <c r="N51" s="9" t="s">
        <v>80</v>
      </c>
      <c r="O51" s="9"/>
    </row>
    <row r="52" customFormat="false" ht="23.85" hidden="false" customHeight="false" outlineLevel="0" collapsed="false">
      <c r="A52" s="5" t="s">
        <v>339</v>
      </c>
      <c r="B52" s="5" t="s">
        <v>12</v>
      </c>
      <c r="C52" s="5" t="s">
        <v>38</v>
      </c>
      <c r="D52" s="5" t="s">
        <v>340</v>
      </c>
      <c r="E52" s="5" t="s">
        <v>341</v>
      </c>
      <c r="F52" s="5" t="s">
        <v>342</v>
      </c>
      <c r="G52" s="5" t="s">
        <v>229</v>
      </c>
      <c r="H52" s="5" t="s">
        <v>149</v>
      </c>
      <c r="I52" s="12" t="s">
        <v>26</v>
      </c>
      <c r="J52" s="13" t="n">
        <f aca="false">IFERROR(INDEX(Legend!$B$5:$B$7,MATCH(I52,Legend!$A$5:$A$7,0)),0)</f>
        <v>3</v>
      </c>
      <c r="K52" s="9" t="s">
        <v>23</v>
      </c>
      <c r="L52" s="9" t="s">
        <v>17</v>
      </c>
      <c r="M52" s="5" t="s">
        <v>343</v>
      </c>
      <c r="N52" s="9" t="s">
        <v>80</v>
      </c>
      <c r="O52" s="9"/>
    </row>
    <row r="53" customFormat="false" ht="15" hidden="false" customHeight="false" outlineLevel="0" collapsed="false">
      <c r="A53" s="5" t="s">
        <v>344</v>
      </c>
      <c r="B53" s="5" t="s">
        <v>12</v>
      </c>
      <c r="C53" s="5" t="s">
        <v>44</v>
      </c>
      <c r="D53" s="5" t="s">
        <v>345</v>
      </c>
      <c r="E53" s="5" t="s">
        <v>346</v>
      </c>
      <c r="F53" s="5" t="s">
        <v>347</v>
      </c>
      <c r="G53" s="5" t="s">
        <v>229</v>
      </c>
      <c r="H53" s="5" t="s">
        <v>149</v>
      </c>
      <c r="I53" s="12" t="s">
        <v>26</v>
      </c>
      <c r="J53" s="13" t="n">
        <f aca="false">IFERROR(INDEX(Legend!$B$5:$B$7,MATCH(I53,Legend!$A$5:$A$7,0)),0)</f>
        <v>3</v>
      </c>
      <c r="K53" s="9" t="s">
        <v>23</v>
      </c>
      <c r="L53" s="9" t="s">
        <v>17</v>
      </c>
      <c r="M53" s="5" t="s">
        <v>150</v>
      </c>
      <c r="N53" s="9" t="s">
        <v>80</v>
      </c>
      <c r="O53" s="9"/>
    </row>
    <row r="54" customFormat="false" ht="23.85" hidden="false" customHeight="false" outlineLevel="0" collapsed="false">
      <c r="A54" s="5" t="s">
        <v>348</v>
      </c>
      <c r="B54" s="5" t="s">
        <v>12</v>
      </c>
      <c r="C54" s="5" t="s">
        <v>29</v>
      </c>
      <c r="D54" s="5" t="s">
        <v>349</v>
      </c>
      <c r="E54" s="5" t="s">
        <v>350</v>
      </c>
      <c r="F54" s="5" t="s">
        <v>351</v>
      </c>
      <c r="G54" s="5" t="s">
        <v>229</v>
      </c>
      <c r="H54" s="5" t="s">
        <v>149</v>
      </c>
      <c r="I54" s="12" t="s">
        <v>25</v>
      </c>
      <c r="J54" s="13" t="n">
        <f aca="false">IFERROR(INDEX(Legend!$B$5:$B$7,MATCH(I54,Legend!$A$5:$A$7,0)),0)</f>
        <v>2</v>
      </c>
      <c r="K54" s="9" t="s">
        <v>22</v>
      </c>
      <c r="L54" s="9" t="s">
        <v>18</v>
      </c>
      <c r="M54" s="5" t="s">
        <v>154</v>
      </c>
      <c r="N54" s="9" t="s">
        <v>80</v>
      </c>
      <c r="O54" s="9"/>
    </row>
    <row r="55" customFormat="false" ht="15" hidden="false" customHeight="false" outlineLevel="0" collapsed="false">
      <c r="A55" s="5" t="s">
        <v>352</v>
      </c>
      <c r="B55" s="5" t="s">
        <v>12</v>
      </c>
      <c r="C55" s="5" t="s">
        <v>47</v>
      </c>
      <c r="D55" s="5" t="s">
        <v>353</v>
      </c>
      <c r="E55" s="5" t="s">
        <v>354</v>
      </c>
      <c r="F55" s="5" t="s">
        <v>355</v>
      </c>
      <c r="G55" s="5" t="s">
        <v>229</v>
      </c>
      <c r="H55" s="5" t="s">
        <v>164</v>
      </c>
      <c r="I55" s="12" t="s">
        <v>25</v>
      </c>
      <c r="J55" s="13" t="n">
        <f aca="false">IFERROR(INDEX(Legend!$B$5:$B$7,MATCH(I55,Legend!$A$5:$A$7,0)),0)</f>
        <v>2</v>
      </c>
      <c r="K55" s="9" t="s">
        <v>23</v>
      </c>
      <c r="L55" s="9" t="s">
        <v>17</v>
      </c>
      <c r="M55" s="5" t="s">
        <v>160</v>
      </c>
      <c r="N55" s="9" t="s">
        <v>80</v>
      </c>
      <c r="O55" s="9"/>
    </row>
    <row r="56" customFormat="false" ht="23.85" hidden="false" customHeight="false" outlineLevel="0" collapsed="false">
      <c r="A56" s="5" t="s">
        <v>356</v>
      </c>
      <c r="B56" s="5" t="s">
        <v>12</v>
      </c>
      <c r="C56" s="5" t="s">
        <v>47</v>
      </c>
      <c r="D56" s="5" t="s">
        <v>357</v>
      </c>
      <c r="E56" s="5" t="s">
        <v>358</v>
      </c>
      <c r="F56" s="5" t="s">
        <v>359</v>
      </c>
      <c r="G56" s="5" t="s">
        <v>229</v>
      </c>
      <c r="H56" s="5" t="s">
        <v>164</v>
      </c>
      <c r="I56" s="12" t="s">
        <v>25</v>
      </c>
      <c r="J56" s="13" t="n">
        <f aca="false">IFERROR(INDEX(Legend!$B$5:$B$7,MATCH(I56,Legend!$A$5:$A$7,0)),0)</f>
        <v>2</v>
      </c>
      <c r="K56" s="9" t="s">
        <v>22</v>
      </c>
      <c r="L56" s="9" t="s">
        <v>17</v>
      </c>
      <c r="M56" s="5"/>
      <c r="N56" s="9" t="s">
        <v>80</v>
      </c>
      <c r="O56" s="9"/>
    </row>
    <row r="57" customFormat="false" ht="23.85" hidden="false" customHeight="false" outlineLevel="0" collapsed="false">
      <c r="A57" s="5" t="s">
        <v>360</v>
      </c>
      <c r="B57" s="5" t="s">
        <v>12</v>
      </c>
      <c r="C57" s="5" t="s">
        <v>47</v>
      </c>
      <c r="D57" s="5" t="s">
        <v>361</v>
      </c>
      <c r="E57" s="5" t="s">
        <v>362</v>
      </c>
      <c r="F57" s="5" t="s">
        <v>363</v>
      </c>
      <c r="G57" s="5" t="s">
        <v>229</v>
      </c>
      <c r="H57" s="5" t="s">
        <v>164</v>
      </c>
      <c r="I57" s="12" t="s">
        <v>26</v>
      </c>
      <c r="J57" s="13" t="n">
        <f aca="false">IFERROR(INDEX(Legend!$B$5:$B$7,MATCH(I57,Legend!$A$5:$A$7,0)),0)</f>
        <v>3</v>
      </c>
      <c r="K57" s="9" t="s">
        <v>21</v>
      </c>
      <c r="L57" s="9" t="s">
        <v>17</v>
      </c>
      <c r="M57" s="5" t="s">
        <v>364</v>
      </c>
      <c r="N57" s="9" t="s">
        <v>80</v>
      </c>
      <c r="O57" s="9"/>
    </row>
    <row r="58" customFormat="false" ht="23.85" hidden="false" customHeight="false" outlineLevel="0" collapsed="false">
      <c r="A58" s="5" t="s">
        <v>365</v>
      </c>
      <c r="B58" s="5" t="s">
        <v>12</v>
      </c>
      <c r="C58" s="5" t="s">
        <v>31</v>
      </c>
      <c r="D58" s="5" t="s">
        <v>366</v>
      </c>
      <c r="E58" s="5" t="s">
        <v>367</v>
      </c>
      <c r="F58" s="5" t="s">
        <v>368</v>
      </c>
      <c r="G58" s="5" t="s">
        <v>229</v>
      </c>
      <c r="H58" s="5" t="s">
        <v>169</v>
      </c>
      <c r="I58" s="12" t="s">
        <v>26</v>
      </c>
      <c r="J58" s="13" t="n">
        <f aca="false">IFERROR(INDEX(Legend!$B$5:$B$7,MATCH(I58,Legend!$A$5:$A$7,0)),0)</f>
        <v>3</v>
      </c>
      <c r="K58" s="9" t="s">
        <v>21</v>
      </c>
      <c r="L58" s="9" t="s">
        <v>17</v>
      </c>
      <c r="M58" s="5" t="s">
        <v>369</v>
      </c>
      <c r="N58" s="9" t="s">
        <v>80</v>
      </c>
      <c r="O58" s="9"/>
    </row>
    <row r="59" customFormat="false" ht="15" hidden="false" customHeight="false" outlineLevel="0" collapsed="false">
      <c r="A59" s="5" t="s">
        <v>370</v>
      </c>
      <c r="B59" s="5" t="s">
        <v>12</v>
      </c>
      <c r="C59" s="5" t="s">
        <v>29</v>
      </c>
      <c r="D59" s="5" t="s">
        <v>371</v>
      </c>
      <c r="E59" s="5" t="s">
        <v>372</v>
      </c>
      <c r="F59" s="5" t="s">
        <v>373</v>
      </c>
      <c r="G59" s="5" t="s">
        <v>229</v>
      </c>
      <c r="H59" s="5" t="s">
        <v>164</v>
      </c>
      <c r="I59" s="12" t="s">
        <v>27</v>
      </c>
      <c r="J59" s="13" t="n">
        <f aca="false">IFERROR(INDEX(Legend!$B$5:$B$7,MATCH(I59,Legend!$A$5:$A$7,0)),0)</f>
        <v>8</v>
      </c>
      <c r="K59" s="9" t="s">
        <v>21</v>
      </c>
      <c r="L59" s="9" t="s">
        <v>18</v>
      </c>
      <c r="M59" s="5" t="s">
        <v>365</v>
      </c>
      <c r="N59" s="9" t="s">
        <v>80</v>
      </c>
      <c r="O59" s="9"/>
    </row>
    <row r="60" customFormat="false" ht="23.85" hidden="false" customHeight="false" outlineLevel="0" collapsed="false">
      <c r="A60" s="5" t="s">
        <v>374</v>
      </c>
      <c r="B60" s="5" t="s">
        <v>12</v>
      </c>
      <c r="C60" s="5" t="s">
        <v>30</v>
      </c>
      <c r="D60" s="5" t="s">
        <v>375</v>
      </c>
      <c r="E60" s="5" t="s">
        <v>376</v>
      </c>
      <c r="F60" s="5" t="s">
        <v>377</v>
      </c>
      <c r="G60" s="5" t="s">
        <v>229</v>
      </c>
      <c r="H60" s="5" t="s">
        <v>164</v>
      </c>
      <c r="I60" s="12" t="s">
        <v>27</v>
      </c>
      <c r="J60" s="13" t="n">
        <f aca="false">IFERROR(INDEX(Legend!$B$5:$B$7,MATCH(I60,Legend!$A$5:$A$7,0)),0)</f>
        <v>8</v>
      </c>
      <c r="K60" s="9" t="s">
        <v>21</v>
      </c>
      <c r="L60" s="9" t="s">
        <v>17</v>
      </c>
      <c r="M60" s="5" t="s">
        <v>378</v>
      </c>
      <c r="N60" s="9" t="s">
        <v>80</v>
      </c>
      <c r="O60" s="9"/>
    </row>
    <row r="61" customFormat="false" ht="15" hidden="false" customHeight="false" outlineLevel="0" collapsed="false">
      <c r="A61" s="5" t="s">
        <v>379</v>
      </c>
      <c r="B61" s="5" t="s">
        <v>12</v>
      </c>
      <c r="C61" s="5" t="s">
        <v>55</v>
      </c>
      <c r="D61" s="5" t="s">
        <v>380</v>
      </c>
      <c r="E61" s="5" t="s">
        <v>381</v>
      </c>
      <c r="F61" s="5" t="s">
        <v>382</v>
      </c>
      <c r="G61" s="5" t="s">
        <v>229</v>
      </c>
      <c r="H61" s="5" t="s">
        <v>164</v>
      </c>
      <c r="I61" s="12" t="s">
        <v>25</v>
      </c>
      <c r="J61" s="13" t="n">
        <f aca="false">IFERROR(INDEX(Legend!$B$5:$B$7,MATCH(I61,Legend!$A$5:$A$7,0)),0)</f>
        <v>2</v>
      </c>
      <c r="K61" s="9" t="s">
        <v>23</v>
      </c>
      <c r="L61" s="9" t="s">
        <v>18</v>
      </c>
      <c r="M61" s="5" t="s">
        <v>374</v>
      </c>
      <c r="N61" s="9" t="s">
        <v>80</v>
      </c>
      <c r="O61" s="9"/>
    </row>
    <row r="62" customFormat="false" ht="23.85" hidden="false" customHeight="false" outlineLevel="0" collapsed="false">
      <c r="A62" s="5" t="s">
        <v>383</v>
      </c>
      <c r="B62" s="5" t="s">
        <v>12</v>
      </c>
      <c r="C62" s="5" t="s">
        <v>34</v>
      </c>
      <c r="D62" s="5" t="s">
        <v>384</v>
      </c>
      <c r="E62" s="5" t="s">
        <v>385</v>
      </c>
      <c r="F62" s="5" t="s">
        <v>386</v>
      </c>
      <c r="G62" s="5" t="s">
        <v>229</v>
      </c>
      <c r="H62" s="5" t="s">
        <v>224</v>
      </c>
      <c r="I62" s="12" t="s">
        <v>26</v>
      </c>
      <c r="J62" s="13" t="n">
        <f aca="false">IFERROR(INDEX(Legend!$B$5:$B$7,MATCH(I62,Legend!$A$5:$A$7,0)),0)</f>
        <v>3</v>
      </c>
      <c r="K62" s="9" t="s">
        <v>21</v>
      </c>
      <c r="L62" s="9" t="s">
        <v>17</v>
      </c>
      <c r="M62" s="5" t="s">
        <v>387</v>
      </c>
      <c r="N62" s="9" t="s">
        <v>80</v>
      </c>
      <c r="O62" s="9"/>
    </row>
    <row r="63" customFormat="false" ht="15" hidden="false" customHeight="false" outlineLevel="0" collapsed="false">
      <c r="A63" s="5" t="s">
        <v>388</v>
      </c>
      <c r="B63" s="5" t="s">
        <v>12</v>
      </c>
      <c r="C63" s="5" t="s">
        <v>46</v>
      </c>
      <c r="D63" s="5" t="s">
        <v>389</v>
      </c>
      <c r="E63" s="5" t="s">
        <v>390</v>
      </c>
      <c r="F63" s="5" t="s">
        <v>391</v>
      </c>
      <c r="G63" s="5" t="s">
        <v>229</v>
      </c>
      <c r="H63" s="5" t="s">
        <v>164</v>
      </c>
      <c r="I63" s="12" t="s">
        <v>25</v>
      </c>
      <c r="J63" s="13" t="n">
        <f aca="false">IFERROR(INDEX(Legend!$B$5:$B$7,MATCH(I63,Legend!$A$5:$A$7,0)),0)</f>
        <v>2</v>
      </c>
      <c r="K63" s="9" t="s">
        <v>23</v>
      </c>
      <c r="L63" s="9" t="s">
        <v>19</v>
      </c>
      <c r="M63" s="5" t="s">
        <v>184</v>
      </c>
      <c r="N63" s="9" t="s">
        <v>80</v>
      </c>
      <c r="O63" s="9"/>
    </row>
    <row r="64" customFormat="false" ht="15" hidden="false" customHeight="false" outlineLevel="0" collapsed="false">
      <c r="A64" s="5" t="s">
        <v>392</v>
      </c>
      <c r="B64" s="5" t="s">
        <v>12</v>
      </c>
      <c r="C64" s="5" t="s">
        <v>50</v>
      </c>
      <c r="D64" s="5" t="s">
        <v>393</v>
      </c>
      <c r="E64" s="5" t="s">
        <v>394</v>
      </c>
      <c r="F64" s="5" t="s">
        <v>395</v>
      </c>
      <c r="G64" s="5" t="s">
        <v>229</v>
      </c>
      <c r="H64" s="5" t="s">
        <v>224</v>
      </c>
      <c r="I64" s="12" t="s">
        <v>26</v>
      </c>
      <c r="J64" s="13" t="n">
        <f aca="false">IFERROR(INDEX(Legend!$B$5:$B$7,MATCH(I64,Legend!$A$5:$A$7,0)),0)</f>
        <v>3</v>
      </c>
      <c r="K64" s="9" t="s">
        <v>22</v>
      </c>
      <c r="L64" s="9" t="s">
        <v>18</v>
      </c>
      <c r="M64" s="5" t="s">
        <v>236</v>
      </c>
      <c r="N64" s="9" t="s">
        <v>80</v>
      </c>
      <c r="O64" s="9"/>
    </row>
    <row r="65" customFormat="false" ht="23.85" hidden="false" customHeight="false" outlineLevel="0" collapsed="false">
      <c r="A65" s="5" t="s">
        <v>396</v>
      </c>
      <c r="B65" s="5" t="s">
        <v>12</v>
      </c>
      <c r="C65" s="5" t="s">
        <v>39</v>
      </c>
      <c r="D65" s="5" t="s">
        <v>397</v>
      </c>
      <c r="E65" s="5" t="s">
        <v>398</v>
      </c>
      <c r="F65" s="5" t="s">
        <v>399</v>
      </c>
      <c r="G65" s="5" t="s">
        <v>229</v>
      </c>
      <c r="H65" s="5" t="s">
        <v>224</v>
      </c>
      <c r="I65" s="12" t="s">
        <v>26</v>
      </c>
      <c r="J65" s="13" t="n">
        <f aca="false">IFERROR(INDEX(Legend!$B$5:$B$7,MATCH(I65,Legend!$A$5:$A$7,0)),0)</f>
        <v>3</v>
      </c>
      <c r="K65" s="9" t="s">
        <v>22</v>
      </c>
      <c r="L65" s="9" t="s">
        <v>18</v>
      </c>
      <c r="M65" s="5" t="s">
        <v>236</v>
      </c>
      <c r="N65" s="9" t="s">
        <v>80</v>
      </c>
      <c r="O65" s="9"/>
    </row>
    <row r="66" customFormat="false" ht="15" hidden="false" customHeight="false" outlineLevel="0" collapsed="false">
      <c r="A66" s="5" t="s">
        <v>400</v>
      </c>
      <c r="B66" s="5" t="s">
        <v>13</v>
      </c>
      <c r="C66" s="5" t="s">
        <v>54</v>
      </c>
      <c r="D66" s="5" t="s">
        <v>401</v>
      </c>
      <c r="E66" s="5" t="s">
        <v>402</v>
      </c>
      <c r="F66" s="5" t="s">
        <v>403</v>
      </c>
      <c r="G66" s="5" t="s">
        <v>43</v>
      </c>
      <c r="H66" s="5" t="s">
        <v>333</v>
      </c>
      <c r="I66" s="12" t="s">
        <v>27</v>
      </c>
      <c r="J66" s="13" t="n">
        <f aca="false">IFERROR(INDEX(Legend!$B$5:$B$7,MATCH(I66,Legend!$A$5:$A$7,0)),0)</f>
        <v>8</v>
      </c>
      <c r="K66" s="9" t="s">
        <v>21</v>
      </c>
      <c r="L66" s="9" t="s">
        <v>17</v>
      </c>
      <c r="M66" s="5" t="s">
        <v>404</v>
      </c>
      <c r="N66" s="9" t="s">
        <v>80</v>
      </c>
      <c r="O66" s="9"/>
    </row>
    <row r="67" customFormat="false" ht="23.85" hidden="false" customHeight="false" outlineLevel="0" collapsed="false">
      <c r="A67" s="5" t="s">
        <v>405</v>
      </c>
      <c r="B67" s="5" t="s">
        <v>13</v>
      </c>
      <c r="C67" s="5" t="s">
        <v>54</v>
      </c>
      <c r="D67" s="5" t="s">
        <v>406</v>
      </c>
      <c r="E67" s="5" t="s">
        <v>407</v>
      </c>
      <c r="F67" s="5" t="s">
        <v>408</v>
      </c>
      <c r="G67" s="5" t="s">
        <v>43</v>
      </c>
      <c r="H67" s="5" t="s">
        <v>333</v>
      </c>
      <c r="I67" s="12" t="s">
        <v>26</v>
      </c>
      <c r="J67" s="13" t="n">
        <f aca="false">IFERROR(INDEX(Legend!$B$5:$B$7,MATCH(I67,Legend!$A$5:$A$7,0)),0)</f>
        <v>3</v>
      </c>
      <c r="K67" s="9" t="s">
        <v>21</v>
      </c>
      <c r="L67" s="9" t="s">
        <v>17</v>
      </c>
      <c r="M67" s="5" t="s">
        <v>409</v>
      </c>
      <c r="N67" s="9" t="s">
        <v>80</v>
      </c>
      <c r="O67" s="9"/>
    </row>
    <row r="68" customFormat="false" ht="15" hidden="false" customHeight="false" outlineLevel="0" collapsed="false">
      <c r="A68" s="5" t="s">
        <v>410</v>
      </c>
      <c r="B68" s="5" t="s">
        <v>13</v>
      </c>
      <c r="C68" s="5" t="s">
        <v>54</v>
      </c>
      <c r="D68" s="5" t="s">
        <v>411</v>
      </c>
      <c r="E68" s="5" t="s">
        <v>412</v>
      </c>
      <c r="F68" s="5" t="s">
        <v>413</v>
      </c>
      <c r="G68" s="5" t="s">
        <v>43</v>
      </c>
      <c r="H68" s="5" t="s">
        <v>333</v>
      </c>
      <c r="I68" s="12" t="s">
        <v>26</v>
      </c>
      <c r="J68" s="13" t="n">
        <f aca="false">IFERROR(INDEX(Legend!$B$5:$B$7,MATCH(I68,Legend!$A$5:$A$7,0)),0)</f>
        <v>3</v>
      </c>
      <c r="K68" s="9" t="s">
        <v>21</v>
      </c>
      <c r="L68" s="9" t="s">
        <v>17</v>
      </c>
      <c r="M68" s="5" t="s">
        <v>383</v>
      </c>
      <c r="N68" s="9" t="s">
        <v>80</v>
      </c>
      <c r="O68" s="9"/>
    </row>
    <row r="69" customFormat="false" ht="23.85" hidden="false" customHeight="false" outlineLevel="0" collapsed="false">
      <c r="A69" s="5" t="s">
        <v>414</v>
      </c>
      <c r="B69" s="5" t="s">
        <v>13</v>
      </c>
      <c r="C69" s="5" t="s">
        <v>54</v>
      </c>
      <c r="D69" s="5" t="s">
        <v>415</v>
      </c>
      <c r="E69" s="5" t="s">
        <v>416</v>
      </c>
      <c r="F69" s="5" t="s">
        <v>417</v>
      </c>
      <c r="G69" s="5" t="s">
        <v>43</v>
      </c>
      <c r="H69" s="5" t="s">
        <v>333</v>
      </c>
      <c r="I69" s="12" t="s">
        <v>26</v>
      </c>
      <c r="J69" s="13" t="n">
        <f aca="false">IFERROR(INDEX(Legend!$B$5:$B$7,MATCH(I69,Legend!$A$5:$A$7,0)),0)</f>
        <v>3</v>
      </c>
      <c r="K69" s="9" t="s">
        <v>22</v>
      </c>
      <c r="L69" s="9" t="s">
        <v>17</v>
      </c>
      <c r="M69" s="5" t="s">
        <v>400</v>
      </c>
      <c r="N69" s="9" t="s">
        <v>80</v>
      </c>
      <c r="O69" s="9"/>
    </row>
    <row r="70" customFormat="false" ht="15" hidden="false" customHeight="false" outlineLevel="0" collapsed="false">
      <c r="A70" s="5" t="s">
        <v>418</v>
      </c>
      <c r="B70" s="5" t="s">
        <v>13</v>
      </c>
      <c r="C70" s="5" t="s">
        <v>52</v>
      </c>
      <c r="D70" s="5" t="s">
        <v>419</v>
      </c>
      <c r="E70" s="5" t="s">
        <v>420</v>
      </c>
      <c r="F70" s="5" t="s">
        <v>421</v>
      </c>
      <c r="G70" s="5" t="s">
        <v>52</v>
      </c>
      <c r="H70" s="5" t="s">
        <v>268</v>
      </c>
      <c r="I70" s="12" t="s">
        <v>26</v>
      </c>
      <c r="J70" s="13" t="n">
        <f aca="false">IFERROR(INDEX(Legend!$B$5:$B$7,MATCH(I70,Legend!$A$5:$A$7,0)),0)</f>
        <v>3</v>
      </c>
      <c r="K70" s="9" t="s">
        <v>21</v>
      </c>
      <c r="L70" s="9" t="s">
        <v>17</v>
      </c>
      <c r="M70" s="5" t="s">
        <v>320</v>
      </c>
      <c r="N70" s="9" t="s">
        <v>80</v>
      </c>
      <c r="O70" s="9"/>
    </row>
    <row r="71" customFormat="false" ht="23.85" hidden="false" customHeight="false" outlineLevel="0" collapsed="false">
      <c r="A71" s="5" t="s">
        <v>422</v>
      </c>
      <c r="B71" s="5" t="s">
        <v>13</v>
      </c>
      <c r="C71" s="5" t="s">
        <v>43</v>
      </c>
      <c r="D71" s="5" t="s">
        <v>423</v>
      </c>
      <c r="E71" s="5" t="s">
        <v>424</v>
      </c>
      <c r="F71" s="5" t="s">
        <v>425</v>
      </c>
      <c r="G71" s="5" t="s">
        <v>43</v>
      </c>
      <c r="H71" s="5" t="s">
        <v>333</v>
      </c>
      <c r="I71" s="12" t="s">
        <v>26</v>
      </c>
      <c r="J71" s="13" t="n">
        <f aca="false">IFERROR(INDEX(Legend!$B$5:$B$7,MATCH(I71,Legend!$A$5:$A$7,0)),0)</f>
        <v>3</v>
      </c>
      <c r="K71" s="9" t="s">
        <v>22</v>
      </c>
      <c r="L71" s="9" t="s">
        <v>17</v>
      </c>
      <c r="M71" s="5" t="s">
        <v>404</v>
      </c>
      <c r="N71" s="9" t="s">
        <v>80</v>
      </c>
      <c r="O71" s="9"/>
    </row>
    <row r="72" customFormat="false" ht="23.85" hidden="false" customHeight="false" outlineLevel="0" collapsed="false">
      <c r="A72" s="5" t="s">
        <v>426</v>
      </c>
      <c r="B72" s="5" t="s">
        <v>13</v>
      </c>
      <c r="C72" s="5" t="s">
        <v>43</v>
      </c>
      <c r="D72" s="5" t="s">
        <v>427</v>
      </c>
      <c r="E72" s="5" t="s">
        <v>428</v>
      </c>
      <c r="F72" s="5" t="s">
        <v>429</v>
      </c>
      <c r="G72" s="5" t="s">
        <v>43</v>
      </c>
      <c r="H72" s="5" t="s">
        <v>333</v>
      </c>
      <c r="I72" s="12" t="s">
        <v>26</v>
      </c>
      <c r="J72" s="13" t="n">
        <f aca="false">IFERROR(INDEX(Legend!$B$5:$B$7,MATCH(I72,Legend!$A$5:$A$7,0)),0)</f>
        <v>3</v>
      </c>
      <c r="K72" s="9" t="s">
        <v>22</v>
      </c>
      <c r="L72" s="9" t="s">
        <v>17</v>
      </c>
      <c r="M72" s="5" t="s">
        <v>430</v>
      </c>
      <c r="N72" s="9" t="s">
        <v>80</v>
      </c>
      <c r="O72" s="9"/>
    </row>
    <row r="73" customFormat="false" ht="15" hidden="false" customHeight="false" outlineLevel="0" collapsed="false">
      <c r="A73" s="5" t="s">
        <v>431</v>
      </c>
      <c r="B73" s="5" t="s">
        <v>13</v>
      </c>
      <c r="C73" s="5" t="s">
        <v>49</v>
      </c>
      <c r="D73" s="5" t="s">
        <v>432</v>
      </c>
      <c r="E73" s="5" t="s">
        <v>433</v>
      </c>
      <c r="F73" s="5" t="s">
        <v>434</v>
      </c>
      <c r="G73" s="5" t="s">
        <v>435</v>
      </c>
      <c r="H73" s="5" t="s">
        <v>436</v>
      </c>
      <c r="I73" s="12" t="s">
        <v>26</v>
      </c>
      <c r="J73" s="13" t="n">
        <f aca="false">IFERROR(INDEX(Legend!$B$5:$B$7,MATCH(I73,Legend!$A$5:$A$7,0)),0)</f>
        <v>3</v>
      </c>
      <c r="K73" s="9" t="s">
        <v>21</v>
      </c>
      <c r="L73" s="9" t="s">
        <v>17</v>
      </c>
      <c r="M73" s="5" t="s">
        <v>437</v>
      </c>
      <c r="N73" s="9" t="s">
        <v>80</v>
      </c>
      <c r="O73" s="9"/>
    </row>
    <row r="74" customFormat="false" ht="23.85" hidden="false" customHeight="false" outlineLevel="0" collapsed="false">
      <c r="A74" s="5" t="s">
        <v>438</v>
      </c>
      <c r="B74" s="5" t="s">
        <v>14</v>
      </c>
      <c r="C74" s="5" t="s">
        <v>33</v>
      </c>
      <c r="D74" s="5" t="s">
        <v>439</v>
      </c>
      <c r="E74" s="5" t="s">
        <v>440</v>
      </c>
      <c r="F74" s="5" t="s">
        <v>441</v>
      </c>
      <c r="G74" s="5" t="s">
        <v>442</v>
      </c>
      <c r="H74" s="5" t="s">
        <v>443</v>
      </c>
      <c r="I74" s="12" t="s">
        <v>26</v>
      </c>
      <c r="J74" s="13" t="n">
        <f aca="false">IFERROR(INDEX(Legend!$B$5:$B$7,MATCH(I74,Legend!$A$5:$A$7,0)),0)</f>
        <v>3</v>
      </c>
      <c r="K74" s="9" t="s">
        <v>21</v>
      </c>
      <c r="L74" s="9" t="s">
        <v>19</v>
      </c>
      <c r="M74" s="5" t="s">
        <v>431</v>
      </c>
      <c r="N74" s="9" t="s">
        <v>80</v>
      </c>
      <c r="O74" s="9"/>
    </row>
    <row r="75" customFormat="false" ht="23.85" hidden="false" customHeight="false" outlineLevel="0" collapsed="false">
      <c r="A75" s="5" t="s">
        <v>444</v>
      </c>
      <c r="B75" s="5" t="s">
        <v>14</v>
      </c>
      <c r="C75" s="5" t="s">
        <v>36</v>
      </c>
      <c r="D75" s="5" t="s">
        <v>445</v>
      </c>
      <c r="E75" s="5" t="s">
        <v>446</v>
      </c>
      <c r="F75" s="5" t="s">
        <v>447</v>
      </c>
      <c r="G75" s="5" t="s">
        <v>448</v>
      </c>
      <c r="H75" s="5" t="s">
        <v>443</v>
      </c>
      <c r="I75" s="12" t="s">
        <v>25</v>
      </c>
      <c r="J75" s="13" t="n">
        <f aca="false">IFERROR(INDEX(Legend!$B$5:$B$7,MATCH(I75,Legend!$A$5:$A$7,0)),0)</f>
        <v>2</v>
      </c>
      <c r="K75" s="9" t="s">
        <v>22</v>
      </c>
      <c r="L75" s="9" t="s">
        <v>19</v>
      </c>
      <c r="M75" s="5" t="s">
        <v>438</v>
      </c>
      <c r="N75" s="9" t="s">
        <v>80</v>
      </c>
      <c r="O75" s="9"/>
    </row>
    <row r="76" customFormat="false" ht="23.85" hidden="false" customHeight="false" outlineLevel="0" collapsed="false">
      <c r="A76" s="5" t="s">
        <v>449</v>
      </c>
      <c r="B76" s="5" t="s">
        <v>14</v>
      </c>
      <c r="C76" s="5" t="s">
        <v>48</v>
      </c>
      <c r="D76" s="5" t="s">
        <v>450</v>
      </c>
      <c r="E76" s="5" t="s">
        <v>451</v>
      </c>
      <c r="F76" s="5" t="s">
        <v>452</v>
      </c>
      <c r="G76" s="5" t="s">
        <v>448</v>
      </c>
      <c r="H76" s="5" t="s">
        <v>443</v>
      </c>
      <c r="I76" s="12" t="s">
        <v>27</v>
      </c>
      <c r="J76" s="13" t="n">
        <f aca="false">IFERROR(INDEX(Legend!$B$5:$B$7,MATCH(I76,Legend!$A$5:$A$7,0)),0)</f>
        <v>8</v>
      </c>
      <c r="K76" s="9" t="s">
        <v>21</v>
      </c>
      <c r="L76" s="9" t="s">
        <v>19</v>
      </c>
      <c r="M76" s="5" t="s">
        <v>444</v>
      </c>
      <c r="N76" s="9" t="s">
        <v>80</v>
      </c>
      <c r="O76" s="9"/>
    </row>
    <row r="77" customFormat="false" ht="23.85" hidden="false" customHeight="false" outlineLevel="0" collapsed="false">
      <c r="A77" s="5" t="s">
        <v>453</v>
      </c>
      <c r="B77" s="5" t="s">
        <v>14</v>
      </c>
      <c r="C77" s="5" t="s">
        <v>34</v>
      </c>
      <c r="D77" s="5" t="s">
        <v>454</v>
      </c>
      <c r="E77" s="5" t="s">
        <v>455</v>
      </c>
      <c r="F77" s="5" t="s">
        <v>456</v>
      </c>
      <c r="G77" s="5" t="s">
        <v>442</v>
      </c>
      <c r="H77" s="5" t="s">
        <v>443</v>
      </c>
      <c r="I77" s="12" t="s">
        <v>26</v>
      </c>
      <c r="J77" s="13" t="n">
        <f aca="false">IFERROR(INDEX(Legend!$B$5:$B$7,MATCH(I77,Legend!$A$5:$A$7,0)),0)</f>
        <v>3</v>
      </c>
      <c r="K77" s="9" t="s">
        <v>21</v>
      </c>
      <c r="L77" s="9" t="s">
        <v>19</v>
      </c>
      <c r="M77" s="5" t="s">
        <v>438</v>
      </c>
      <c r="N77" s="9" t="s">
        <v>80</v>
      </c>
      <c r="O77" s="9"/>
    </row>
    <row r="78" customFormat="false" ht="23.85" hidden="false" customHeight="false" outlineLevel="0" collapsed="false">
      <c r="A78" s="5" t="s">
        <v>457</v>
      </c>
      <c r="B78" s="5" t="s">
        <v>14</v>
      </c>
      <c r="C78" s="5" t="s">
        <v>33</v>
      </c>
      <c r="D78" s="5" t="s">
        <v>458</v>
      </c>
      <c r="E78" s="5" t="s">
        <v>459</v>
      </c>
      <c r="F78" s="5" t="s">
        <v>460</v>
      </c>
      <c r="G78" s="5" t="s">
        <v>461</v>
      </c>
      <c r="H78" s="5" t="s">
        <v>443</v>
      </c>
      <c r="I78" s="12" t="s">
        <v>26</v>
      </c>
      <c r="J78" s="13" t="n">
        <f aca="false">IFERROR(INDEX(Legend!$B$5:$B$7,MATCH(I78,Legend!$A$5:$A$7,0)),0)</f>
        <v>3</v>
      </c>
      <c r="K78" s="9" t="s">
        <v>22</v>
      </c>
      <c r="L78" s="9" t="s">
        <v>19</v>
      </c>
      <c r="M78" s="5" t="s">
        <v>438</v>
      </c>
      <c r="N78" s="9" t="s">
        <v>80</v>
      </c>
      <c r="O78" s="9"/>
    </row>
    <row r="79" customFormat="false" ht="23.85" hidden="false" customHeight="false" outlineLevel="0" collapsed="false">
      <c r="A79" s="5" t="s">
        <v>462</v>
      </c>
      <c r="B79" s="5" t="s">
        <v>14</v>
      </c>
      <c r="C79" s="5" t="s">
        <v>48</v>
      </c>
      <c r="D79" s="5" t="s">
        <v>463</v>
      </c>
      <c r="E79" s="5" t="s">
        <v>464</v>
      </c>
      <c r="F79" s="5" t="s">
        <v>465</v>
      </c>
      <c r="G79" s="5" t="s">
        <v>100</v>
      </c>
      <c r="H79" s="5" t="s">
        <v>443</v>
      </c>
      <c r="I79" s="12" t="s">
        <v>27</v>
      </c>
      <c r="J79" s="13" t="n">
        <f aca="false">IFERROR(INDEX(Legend!$B$5:$B$7,MATCH(I79,Legend!$A$5:$A$7,0)),0)</f>
        <v>8</v>
      </c>
      <c r="K79" s="9" t="s">
        <v>22</v>
      </c>
      <c r="L79" s="9" t="s">
        <v>19</v>
      </c>
      <c r="M79" s="5" t="s">
        <v>449</v>
      </c>
      <c r="N79" s="9" t="s">
        <v>80</v>
      </c>
      <c r="O79" s="9"/>
    </row>
    <row r="80" customFormat="false" ht="15" hidden="false" customHeight="false" outlineLevel="0" collapsed="false">
      <c r="A80" s="5" t="s">
        <v>466</v>
      </c>
      <c r="B80" s="5" t="s">
        <v>14</v>
      </c>
      <c r="C80" s="5" t="s">
        <v>41</v>
      </c>
      <c r="D80" s="5" t="s">
        <v>467</v>
      </c>
      <c r="E80" s="5" t="s">
        <v>468</v>
      </c>
      <c r="F80" s="5" t="s">
        <v>469</v>
      </c>
      <c r="G80" s="5" t="s">
        <v>442</v>
      </c>
      <c r="H80" s="5" t="s">
        <v>443</v>
      </c>
      <c r="I80" s="12" t="s">
        <v>26</v>
      </c>
      <c r="J80" s="13" t="n">
        <f aca="false">IFERROR(INDEX(Legend!$B$5:$B$7,MATCH(I80,Legend!$A$5:$A$7,0)),0)</f>
        <v>3</v>
      </c>
      <c r="K80" s="9" t="s">
        <v>22</v>
      </c>
      <c r="L80" s="9" t="s">
        <v>19</v>
      </c>
      <c r="M80" s="5" t="s">
        <v>438</v>
      </c>
      <c r="N80" s="9" t="s">
        <v>80</v>
      </c>
      <c r="O80" s="9"/>
    </row>
    <row r="81" customFormat="false" ht="15" hidden="false" customHeight="false" outlineLevel="0" collapsed="false">
      <c r="A81" s="5" t="s">
        <v>470</v>
      </c>
      <c r="B81" s="5" t="s">
        <v>14</v>
      </c>
      <c r="C81" s="5" t="s">
        <v>54</v>
      </c>
      <c r="D81" s="5" t="s">
        <v>471</v>
      </c>
      <c r="E81" s="5" t="s">
        <v>472</v>
      </c>
      <c r="F81" s="5" t="s">
        <v>473</v>
      </c>
      <c r="G81" s="5" t="s">
        <v>474</v>
      </c>
      <c r="H81" s="5" t="s">
        <v>443</v>
      </c>
      <c r="I81" s="12" t="s">
        <v>27</v>
      </c>
      <c r="J81" s="13" t="n">
        <f aca="false">IFERROR(INDEX(Legend!$B$5:$B$7,MATCH(I81,Legend!$A$5:$A$7,0)),0)</f>
        <v>8</v>
      </c>
      <c r="K81" s="9" t="s">
        <v>22</v>
      </c>
      <c r="L81" s="9" t="s">
        <v>19</v>
      </c>
      <c r="M81" s="5" t="s">
        <v>444</v>
      </c>
      <c r="N81" s="9" t="s">
        <v>80</v>
      </c>
      <c r="O81" s="9"/>
    </row>
    <row r="82" customFormat="false" ht="23.85" hidden="false" customHeight="false" outlineLevel="0" collapsed="false">
      <c r="A82" s="5" t="s">
        <v>475</v>
      </c>
      <c r="B82" s="5" t="s">
        <v>14</v>
      </c>
      <c r="C82" s="5" t="s">
        <v>45</v>
      </c>
      <c r="D82" s="5" t="s">
        <v>476</v>
      </c>
      <c r="E82" s="5" t="s">
        <v>477</v>
      </c>
      <c r="F82" s="5" t="s">
        <v>478</v>
      </c>
      <c r="G82" s="5" t="s">
        <v>435</v>
      </c>
      <c r="H82" s="5" t="s">
        <v>443</v>
      </c>
      <c r="I82" s="12" t="s">
        <v>25</v>
      </c>
      <c r="J82" s="13" t="n">
        <f aca="false">IFERROR(INDEX(Legend!$B$5:$B$7,MATCH(I82,Legend!$A$5:$A$7,0)),0)</f>
        <v>2</v>
      </c>
      <c r="K82" s="9" t="s">
        <v>23</v>
      </c>
      <c r="L82" s="9" t="s">
        <v>18</v>
      </c>
      <c r="M82" s="5"/>
      <c r="N82" s="9" t="s">
        <v>80</v>
      </c>
      <c r="O82" s="9"/>
    </row>
    <row r="83" customFormat="false" ht="23.85" hidden="false" customHeight="false" outlineLevel="0" collapsed="false">
      <c r="A83" s="5" t="s">
        <v>479</v>
      </c>
      <c r="B83" s="5" t="s">
        <v>14</v>
      </c>
      <c r="C83" s="5" t="s">
        <v>43</v>
      </c>
      <c r="D83" s="5" t="s">
        <v>480</v>
      </c>
      <c r="E83" s="5" t="s">
        <v>481</v>
      </c>
      <c r="F83" s="5" t="s">
        <v>482</v>
      </c>
      <c r="G83" s="5" t="s">
        <v>43</v>
      </c>
      <c r="H83" s="5" t="s">
        <v>443</v>
      </c>
      <c r="I83" s="12" t="s">
        <v>26</v>
      </c>
      <c r="J83" s="13" t="n">
        <f aca="false">IFERROR(INDEX(Legend!$B$5:$B$7,MATCH(I83,Legend!$A$5:$A$7,0)),0)</f>
        <v>3</v>
      </c>
      <c r="K83" s="9" t="s">
        <v>23</v>
      </c>
      <c r="L83" s="9" t="s">
        <v>18</v>
      </c>
      <c r="M83" s="5" t="s">
        <v>102</v>
      </c>
      <c r="N83" s="9" t="s">
        <v>80</v>
      </c>
      <c r="O83" s="9"/>
    </row>
    <row r="84" customFormat="false" ht="23.85" hidden="false" customHeight="false" outlineLevel="0" collapsed="false">
      <c r="A84" s="5" t="s">
        <v>483</v>
      </c>
      <c r="B84" s="5" t="s">
        <v>14</v>
      </c>
      <c r="C84" s="5" t="s">
        <v>41</v>
      </c>
      <c r="D84" s="5" t="s">
        <v>484</v>
      </c>
      <c r="E84" s="5" t="s">
        <v>485</v>
      </c>
      <c r="F84" s="5" t="s">
        <v>486</v>
      </c>
      <c r="G84" s="5" t="s">
        <v>442</v>
      </c>
      <c r="H84" s="5" t="s">
        <v>443</v>
      </c>
      <c r="I84" s="12" t="s">
        <v>27</v>
      </c>
      <c r="J84" s="13" t="n">
        <f aca="false">IFERROR(INDEX(Legend!$B$5:$B$7,MATCH(I84,Legend!$A$5:$A$7,0)),0)</f>
        <v>8</v>
      </c>
      <c r="K84" s="9" t="s">
        <v>21</v>
      </c>
      <c r="L84" s="9" t="s">
        <v>19</v>
      </c>
      <c r="M84" s="5" t="s">
        <v>449</v>
      </c>
      <c r="N84" s="9" t="s">
        <v>80</v>
      </c>
      <c r="O84" s="9"/>
    </row>
    <row r="85" customFormat="false" ht="15" hidden="false" customHeight="false" outlineLevel="0" collapsed="false">
      <c r="D85" s="3" t="s">
        <v>15</v>
      </c>
      <c r="J85" s="14" t="n">
        <f aca="false">SUM(J2:J84)</f>
        <v>292</v>
      </c>
    </row>
  </sheetData>
  <autoFilter ref="A1:O84"/>
  <conditionalFormatting sqref="K2:K84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10">
      <formula>"Low"</formula>
    </cfRule>
  </conditionalFormatting>
  <conditionalFormatting sqref="L2:L84">
    <cfRule type="cellIs" priority="5" operator="equal" aboveAverage="0" equalAverage="0" bottom="0" percent="0" rank="0" text="" dxfId="8">
      <formula>"P1 - Must"</formula>
    </cfRule>
    <cfRule type="cellIs" priority="6" operator="equal" aboveAverage="0" equalAverage="0" bottom="0" percent="0" rank="0" text="" dxfId="9">
      <formula>"P2 - Should"</formula>
    </cfRule>
    <cfRule type="cellIs" priority="7" operator="equal" aboveAverage="0" equalAverage="0" bottom="0" percent="0" rank="0" text="" dxfId="10">
      <formula>"P3 - Could / Future"</formula>
    </cfRule>
  </conditionalFormatting>
  <conditionalFormatting sqref="N2:N84">
    <cfRule type="cellIs" priority="8" operator="equal" aboveAverage="0" equalAverage="0" bottom="0" percent="0" rank="0" text="" dxfId="10">
      <formula>"Done"</formula>
    </cfRule>
    <cfRule type="cellIs" priority="9" operator="equal" aboveAverage="0" equalAverage="0" bottom="0" percent="0" rank="0" text="" dxfId="8">
      <formula>"Blocked"</formula>
    </cfRule>
  </conditionalFormatting>
  <dataValidations count="4">
    <dataValidation allowBlank="true" errorStyle="stop" operator="between" showDropDown="false" showErrorMessage="false" showInputMessage="false" sqref="I2:I84" type="list">
      <formula1>Legend!$A$5:$A$7</formula1>
      <formula2>0</formula2>
    </dataValidation>
    <dataValidation allowBlank="true" errorStyle="stop" operator="between" showDropDown="false" showErrorMessage="false" showInputMessage="false" sqref="K2:K84" type="list">
      <formula1>Legend!$A$10:$A$12</formula1>
      <formula2>0</formula2>
    </dataValidation>
    <dataValidation allowBlank="true" errorStyle="stop" operator="between" showDropDown="false" showErrorMessage="false" showInputMessage="false" sqref="L2:L84" type="list">
      <formula1>Legend!$A$15:$A$17</formula1>
      <formula2>0</formula2>
    </dataValidation>
    <dataValidation allowBlank="true" errorStyle="stop" operator="between" showDropDown="false" showErrorMessage="false" showInputMessage="false" sqref="N2:N84" type="list">
      <formula1>Legend!$A$20:$A$23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2026-10-23T14:10:10Z</dcterms:created>
  <dc:creator>openpyxl</dc:creator>
  <dc:description/>
  <dc:language>en-US</dc:language>
  <cp:lastModifiedBy/>
  <dcterms:modified xsi:type="dcterms:W3CDTF">2026-10-23T14:10:10Z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