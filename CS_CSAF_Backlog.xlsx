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yachandrasiddipeta/Downloads/"/>
    </mc:Choice>
  </mc:AlternateContent>
  <xr:revisionPtr revIDLastSave="0" documentId="13_ncr:1_{99094469-2A31-8846-95FA-35D55CA410CA}" xr6:coauthVersionLast="47" xr6:coauthVersionMax="47" xr10:uidLastSave="{00000000-0000-0000-0000-000000000000}"/>
  <bookViews>
    <workbookView xWindow="0" yWindow="660" windowWidth="34560" windowHeight="19880" tabRatio="500" xr2:uid="{00000000-000D-0000-FFFF-FFFF00000000}"/>
  </bookViews>
  <sheets>
    <sheet name="Summary" sheetId="1" r:id="rId1"/>
    <sheet name="Legend" sheetId="2" r:id="rId2"/>
    <sheet name="Backlog" sheetId="3" r:id="rId3"/>
  </sheets>
  <definedNames>
    <definedName name="_xlnm._FilterDatabase" localSheetId="2" hidden="1">Backlog!$A$1:$O$75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5" i="3" l="1"/>
  <c r="J74" i="3"/>
  <c r="J73" i="3"/>
  <c r="J72" i="3"/>
  <c r="J71" i="3"/>
  <c r="J70" i="3"/>
  <c r="J69" i="3"/>
  <c r="J68" i="3"/>
  <c r="J67" i="3"/>
  <c r="C11" i="1" s="1"/>
  <c r="E11" i="1" s="1"/>
  <c r="J66" i="3"/>
  <c r="J65" i="3"/>
  <c r="J64" i="3"/>
  <c r="C17" i="1" s="1"/>
  <c r="E17" i="1" s="1"/>
  <c r="J63" i="3"/>
  <c r="C10" i="1" s="1"/>
  <c r="E10" i="1" s="1"/>
  <c r="J62" i="3"/>
  <c r="J61" i="3"/>
  <c r="J60" i="3"/>
  <c r="J59" i="3"/>
  <c r="J58" i="3"/>
  <c r="J57" i="3"/>
  <c r="J56" i="3"/>
  <c r="J55" i="3"/>
  <c r="J54" i="3"/>
  <c r="C48" i="1" s="1"/>
  <c r="E48" i="1" s="1"/>
  <c r="J53" i="3"/>
  <c r="J52" i="3"/>
  <c r="J51" i="3"/>
  <c r="J50" i="3"/>
  <c r="J49" i="3"/>
  <c r="C9" i="1" s="1"/>
  <c r="E9" i="1" s="1"/>
  <c r="J48" i="3"/>
  <c r="J47" i="3"/>
  <c r="J46" i="3"/>
  <c r="J45" i="3"/>
  <c r="J44" i="3"/>
  <c r="J43" i="3"/>
  <c r="J42" i="3"/>
  <c r="J41" i="3"/>
  <c r="J40" i="3"/>
  <c r="J39" i="3"/>
  <c r="C55" i="1" s="1"/>
  <c r="E55" i="1" s="1"/>
  <c r="J38" i="3"/>
  <c r="J37" i="3"/>
  <c r="J36" i="3"/>
  <c r="C16" i="1" s="1"/>
  <c r="E16" i="1" s="1"/>
  <c r="J35" i="3"/>
  <c r="J34" i="3"/>
  <c r="J33" i="3"/>
  <c r="J32" i="3"/>
  <c r="J31" i="3"/>
  <c r="J30" i="3"/>
  <c r="J29" i="3"/>
  <c r="C37" i="1" s="1"/>
  <c r="E37" i="1" s="1"/>
  <c r="J28" i="3"/>
  <c r="J27" i="3"/>
  <c r="J26" i="3"/>
  <c r="C58" i="1" s="1"/>
  <c r="E58" i="1" s="1"/>
  <c r="J25" i="3"/>
  <c r="J24" i="3"/>
  <c r="C47" i="1" s="1"/>
  <c r="E47" i="1" s="1"/>
  <c r="J23" i="3"/>
  <c r="J22" i="3"/>
  <c r="C21" i="1" s="1"/>
  <c r="J21" i="3"/>
  <c r="C45" i="1" s="1"/>
  <c r="E45" i="1" s="1"/>
  <c r="J20" i="3"/>
  <c r="J19" i="3"/>
  <c r="J18" i="3"/>
  <c r="J17" i="3"/>
  <c r="J16" i="3"/>
  <c r="J15" i="3"/>
  <c r="C51" i="1" s="1"/>
  <c r="E51" i="1" s="1"/>
  <c r="J14" i="3"/>
  <c r="J13" i="3"/>
  <c r="J12" i="3"/>
  <c r="J11" i="3"/>
  <c r="J10" i="3"/>
  <c r="J9" i="3"/>
  <c r="J8" i="3"/>
  <c r="C41" i="1" s="1"/>
  <c r="E41" i="1" s="1"/>
  <c r="J7" i="3"/>
  <c r="C7" i="1" s="1"/>
  <c r="J6" i="3"/>
  <c r="J5" i="3"/>
  <c r="J4" i="3"/>
  <c r="J3" i="3"/>
  <c r="J2" i="3"/>
  <c r="J76" i="3" s="1"/>
  <c r="B66" i="1"/>
  <c r="E62" i="1"/>
  <c r="D62" i="1"/>
  <c r="C62" i="1"/>
  <c r="B62" i="1"/>
  <c r="D61" i="1"/>
  <c r="C61" i="1"/>
  <c r="E61" i="1" s="1"/>
  <c r="B61" i="1"/>
  <c r="D60" i="1"/>
  <c r="B60" i="1"/>
  <c r="D59" i="1"/>
  <c r="C59" i="1"/>
  <c r="E59" i="1" s="1"/>
  <c r="B59" i="1"/>
  <c r="D58" i="1"/>
  <c r="B58" i="1"/>
  <c r="D57" i="1"/>
  <c r="C57" i="1"/>
  <c r="E57" i="1" s="1"/>
  <c r="B57" i="1"/>
  <c r="D56" i="1"/>
  <c r="B56" i="1"/>
  <c r="D55" i="1"/>
  <c r="B55" i="1"/>
  <c r="D54" i="1"/>
  <c r="C54" i="1"/>
  <c r="E54" i="1" s="1"/>
  <c r="B54" i="1"/>
  <c r="D53" i="1"/>
  <c r="C53" i="1"/>
  <c r="E53" i="1" s="1"/>
  <c r="B53" i="1"/>
  <c r="D52" i="1"/>
  <c r="C52" i="1"/>
  <c r="E52" i="1" s="1"/>
  <c r="B52" i="1"/>
  <c r="D51" i="1"/>
  <c r="B51" i="1"/>
  <c r="D50" i="1"/>
  <c r="B50" i="1"/>
  <c r="E49" i="1"/>
  <c r="D49" i="1"/>
  <c r="C49" i="1"/>
  <c r="B49" i="1"/>
  <c r="D48" i="1"/>
  <c r="B48" i="1"/>
  <c r="D47" i="1"/>
  <c r="B47" i="1"/>
  <c r="D46" i="1"/>
  <c r="C46" i="1"/>
  <c r="E46" i="1" s="1"/>
  <c r="B46" i="1"/>
  <c r="D45" i="1"/>
  <c r="B45" i="1"/>
  <c r="D44" i="1"/>
  <c r="B44" i="1"/>
  <c r="D43" i="1"/>
  <c r="C43" i="1"/>
  <c r="E43" i="1" s="1"/>
  <c r="B43" i="1"/>
  <c r="E42" i="1"/>
  <c r="D42" i="1"/>
  <c r="C42" i="1"/>
  <c r="B42" i="1"/>
  <c r="D41" i="1"/>
  <c r="B41" i="1"/>
  <c r="D40" i="1"/>
  <c r="C40" i="1"/>
  <c r="E40" i="1" s="1"/>
  <c r="B40" i="1"/>
  <c r="D39" i="1"/>
  <c r="C39" i="1"/>
  <c r="E39" i="1" s="1"/>
  <c r="B39" i="1"/>
  <c r="D38" i="1"/>
  <c r="B38" i="1"/>
  <c r="D37" i="1"/>
  <c r="B37" i="1"/>
  <c r="D36" i="1"/>
  <c r="C36" i="1"/>
  <c r="E36" i="1" s="1"/>
  <c r="B36" i="1"/>
  <c r="E35" i="1"/>
  <c r="D35" i="1"/>
  <c r="C35" i="1"/>
  <c r="B35" i="1"/>
  <c r="E34" i="1"/>
  <c r="D34" i="1"/>
  <c r="D63" i="1" s="1"/>
  <c r="C34" i="1"/>
  <c r="B34" i="1"/>
  <c r="D33" i="1"/>
  <c r="C33" i="1"/>
  <c r="E33" i="1" s="1"/>
  <c r="B33" i="1"/>
  <c r="B63" i="1" s="1"/>
  <c r="D29" i="1"/>
  <c r="B29" i="1"/>
  <c r="B30" i="1" s="1"/>
  <c r="D28" i="1"/>
  <c r="B28" i="1"/>
  <c r="D27" i="1"/>
  <c r="D30" i="1" s="1"/>
  <c r="B27" i="1"/>
  <c r="D23" i="1"/>
  <c r="D24" i="1" s="1"/>
  <c r="B23" i="1"/>
  <c r="D22" i="1"/>
  <c r="B22" i="1"/>
  <c r="D21" i="1"/>
  <c r="B21" i="1"/>
  <c r="B24" i="1" s="1"/>
  <c r="B18" i="1"/>
  <c r="D17" i="1"/>
  <c r="B17" i="1"/>
  <c r="D16" i="1"/>
  <c r="B16" i="1"/>
  <c r="D15" i="1"/>
  <c r="D18" i="1" s="1"/>
  <c r="B15" i="1"/>
  <c r="D12" i="1"/>
  <c r="D11" i="1"/>
  <c r="B11" i="1"/>
  <c r="D10" i="1"/>
  <c r="B10" i="1"/>
  <c r="D9" i="1"/>
  <c r="B9" i="1"/>
  <c r="D8" i="1"/>
  <c r="B8" i="1"/>
  <c r="D7" i="1"/>
  <c r="B7" i="1"/>
  <c r="B12" i="1" s="1"/>
  <c r="E7" i="1" l="1"/>
  <c r="E21" i="1"/>
  <c r="C15" i="1"/>
  <c r="C56" i="1"/>
  <c r="E56" i="1" s="1"/>
  <c r="C29" i="1"/>
  <c r="E29" i="1" s="1"/>
  <c r="C60" i="1"/>
  <c r="E60" i="1" s="1"/>
  <c r="C66" i="1"/>
  <c r="E66" i="1" s="1"/>
  <c r="C38" i="1"/>
  <c r="E38" i="1" s="1"/>
  <c r="C22" i="1"/>
  <c r="E22" i="1" s="1"/>
  <c r="C27" i="1"/>
  <c r="C50" i="1"/>
  <c r="E50" i="1" s="1"/>
  <c r="C8" i="1"/>
  <c r="E8" i="1" s="1"/>
  <c r="C28" i="1"/>
  <c r="E28" i="1" s="1"/>
  <c r="C44" i="1"/>
  <c r="E44" i="1" s="1"/>
  <c r="C23" i="1"/>
  <c r="E23" i="1" s="1"/>
  <c r="E63" i="1" l="1"/>
  <c r="C30" i="1"/>
  <c r="E27" i="1"/>
  <c r="E30" i="1" s="1"/>
  <c r="C63" i="1"/>
  <c r="E24" i="1"/>
  <c r="E12" i="1"/>
  <c r="E15" i="1"/>
  <c r="E18" i="1" s="1"/>
  <c r="C18" i="1"/>
  <c r="C24" i="1"/>
  <c r="C12" i="1"/>
</calcChain>
</file>

<file path=xl/sharedStrings.xml><?xml version="1.0" encoding="utf-8"?>
<sst xmlns="http://schemas.openxmlformats.org/spreadsheetml/2006/main" count="1092" uniqueCount="445">
  <si>
    <t>CS framework changes and CSAF (Adrian Flux) implementation: estimate summary</t>
  </si>
  <si>
    <t>All figures are formulas over the Backlog sheet. Change Size, Priority or Status there and this sheet updates.</t>
  </si>
  <si>
    <t>Team velocity (points per sprint)</t>
  </si>
  <si>
    <t>Assumption: example velocity, replace with your team's actual figure.</t>
  </si>
  <si>
    <t>By phase</t>
  </si>
  <si>
    <t>Stories</t>
  </si>
  <si>
    <t>Points</t>
  </si>
  <si>
    <t>Points done</t>
  </si>
  <si>
    <t>Sprints (at velocity)</t>
  </si>
  <si>
    <t>0 - Framework refactor (CS)</t>
  </si>
  <si>
    <t>1 - AF foundation (CSAF)</t>
  </si>
  <si>
    <t>2 - AF web form</t>
  </si>
  <si>
    <t>3 - AF specializations</t>
  </si>
  <si>
    <t>4 - Test and go-live</t>
  </si>
  <si>
    <t>Total</t>
  </si>
  <si>
    <t>By priority</t>
  </si>
  <si>
    <t>P1 - Must</t>
  </si>
  <si>
    <t>P2 - Should</t>
  </si>
  <si>
    <t>P3 - Could</t>
  </si>
  <si>
    <t>By intensity</t>
  </si>
  <si>
    <t>High</t>
  </si>
  <si>
    <t>Medium</t>
  </si>
  <si>
    <t>Low</t>
  </si>
  <si>
    <t>By size</t>
  </si>
  <si>
    <t>S</t>
  </si>
  <si>
    <t>M</t>
  </si>
  <si>
    <t>L</t>
  </si>
  <si>
    <t>By category</t>
  </si>
  <si>
    <t>AI</t>
  </si>
  <si>
    <t>AI / business rules</t>
  </si>
  <si>
    <t>AI / email</t>
  </si>
  <si>
    <t>Analysis</t>
  </si>
  <si>
    <t>Architecture</t>
  </si>
  <si>
    <t>Background processing</t>
  </si>
  <si>
    <t>Case processing</t>
  </si>
  <si>
    <t>Configuration</t>
  </si>
  <si>
    <t>Configuration / DCR</t>
  </si>
  <si>
    <t>Correspondence</t>
  </si>
  <si>
    <t>Data governance</t>
  </si>
  <si>
    <t>Data migration</t>
  </si>
  <si>
    <t>Data model</t>
  </si>
  <si>
    <t>Database</t>
  </si>
  <si>
    <t>DevOps</t>
  </si>
  <si>
    <t>Document generation</t>
  </si>
  <si>
    <t>Governance</t>
  </si>
  <si>
    <t>Integration</t>
  </si>
  <si>
    <t>Integration / email</t>
  </si>
  <si>
    <t>Refactoring</t>
  </si>
  <si>
    <t>Release</t>
  </si>
  <si>
    <t>Reporting</t>
  </si>
  <si>
    <t>Routing</t>
  </si>
  <si>
    <t>Security</t>
  </si>
  <si>
    <t>Security / SSO</t>
  </si>
  <si>
    <t>Testing</t>
  </si>
  <si>
    <t>UI</t>
  </si>
  <si>
    <t>UI / DX component</t>
  </si>
  <si>
    <t>UI / localization</t>
  </si>
  <si>
    <t>Validation</t>
  </si>
  <si>
    <t>AF go-live scope (P1, phases 0-4)</t>
  </si>
  <si>
    <t>P1 stories</t>
  </si>
  <si>
    <t>Legend and how to use this workbook</t>
  </si>
  <si>
    <t>Edit only the blue cells and the backlog columns Size, Intensity, Priority, Status, Owner. Story points and the Summary sheet recalculate from them.</t>
  </si>
  <si>
    <t>T-shirt size</t>
  </si>
  <si>
    <t>Story points</t>
  </si>
  <si>
    <t>Meaning</t>
  </si>
  <si>
    <t>Small, well understood change in one layer; little regression impact</t>
  </si>
  <si>
    <t>Points per size as given by you (S=2, M=3, L=8); change the blue cells to re-weight.</t>
  </si>
  <si>
    <t>Moderate change, a few rules or instances; some design or testing effort</t>
  </si>
  <si>
    <t>Large or cross-cutting change; refactoring, several layers, or heavy regression</t>
  </si>
  <si>
    <t>Intensity</t>
  </si>
  <si>
    <t>Meaning (technical risk and regression impact)</t>
  </si>
  <si>
    <t>Touches framework or security/isolation; failure affects Trinity or data separation</t>
  </si>
  <si>
    <t>Some design choices or cross-layer effects; contained regression</t>
  </si>
  <si>
    <t>Configuration or AF-only change with local impact</t>
  </si>
  <si>
    <t>Priority</t>
  </si>
  <si>
    <t>Needed for Adrian Flux go-live</t>
  </si>
  <si>
    <t>Important; can follow shortly after go-live or ship if capacity allows</t>
  </si>
  <si>
    <t>Only if Adrian Flux needs it, or nice to have</t>
  </si>
  <si>
    <t>Status</t>
  </si>
  <si>
    <t>Not started</t>
  </si>
  <si>
    <t>In progress</t>
  </si>
  <si>
    <t>Blocked</t>
  </si>
  <si>
    <t>Done</t>
  </si>
  <si>
    <t>Story IDs: F = Phase 0 framework refactor (CS), A = Phase 1 AF foundation (CSAF), W = Phase 2 AF web form (CSAFWebExt), S = Phase 3 AF specializations, T = Phase 4 test and go-live. Section numbers refer to the framework document.</t>
  </si>
  <si>
    <t>ID</t>
  </si>
  <si>
    <t>Phase</t>
  </si>
  <si>
    <t>Category</t>
  </si>
  <si>
    <t>Story title</t>
  </si>
  <si>
    <t>Description / scope</t>
  </si>
  <si>
    <t>Acceptance criteria</t>
  </si>
  <si>
    <t>Layer / app</t>
  </si>
  <si>
    <t>Doc section</t>
  </si>
  <si>
    <t>Size</t>
  </si>
  <si>
    <t>Depends on</t>
  </si>
  <si>
    <t>Owner / notes</t>
  </si>
  <si>
    <t>F-01</t>
  </si>
  <si>
    <t>Capability inventory and rule tagging</t>
  </si>
  <si>
    <t>List every Trinity capability and its rules; tag each Framework / Extend / Specialize.</t>
  </si>
  <si>
    <t>Inventory signed off; every rule in the FNOL flow tagged; extension point list agreed.</t>
  </si>
  <si>
    <t>CS</t>
  </si>
  <si>
    <t>2, 13</t>
  </si>
  <si>
    <t>F-02</t>
  </si>
  <si>
    <t>Scan CS rulesets for coverholder literals</t>
  </si>
  <si>
    <t>Search CS and CSWebExt for 'Trinity', TRI-, mailbox domains, class names, case type IDs, logos.</t>
  </si>
  <si>
    <t>Report of all hits with owning rule; each hit mapped to a refactoring story.</t>
  </si>
  <si>
    <t>2, 16</t>
  </si>
  <si>
    <t>F-03</t>
  </si>
  <si>
    <t>Coverholder configuration data type</t>
  </si>
  <si>
    <t>Create HCC-CS-Data-CoverholderConfig, table and D_CoverholderConfig (node, keyed by CoverholderCode); add TRI row.</t>
  </si>
  <si>
    <t>Data page returns TRI row; refresh on table change; PegaUnit on lookup.</t>
  </si>
  <si>
    <t>6</t>
  </si>
  <si>
    <t>F-04</t>
  </si>
  <si>
    <t>Application context data page</t>
  </si>
  <si>
    <t>Create HCC-CS-Data-AppContext, D_CSAppContext (requestor) and LoadAppContext with Trinity values.</t>
  </si>
  <si>
    <t>D_CSAppContext returns TRI and class names in CS context; documented as overridable per ruleset.</t>
  </si>
  <si>
    <t>F-05</t>
  </si>
  <si>
    <t>CoverholderCode on cases</t>
  </si>
  <si>
    <t>Add .CoverholderCode to HCC-CS-Work; set in pyDefault of HCC-CS-Work-FNOL; expose as column.</t>
  </si>
  <si>
    <t>New Trinity cases carry TRI; column populated and indexed.</t>
  </si>
  <si>
    <t>F-06</t>
  </si>
  <si>
    <t>Backfill CoverholderCode on existing cases</t>
  </si>
  <si>
    <t>Backfill TRI on open and closed Trinity FNOL and triage cases.</t>
  </si>
  <si>
    <t>All existing cases have TRI; reconciliation count matches; run log kept.</t>
  </si>
  <si>
    <t>6, 16</t>
  </si>
  <si>
    <t>F-07</t>
  </si>
  <si>
    <t>GetCoverholderCode resolver</t>
  </si>
  <si>
    <t>Shared rule: case .CoverholderCode first, else D_CSAppContext.</t>
  </si>
  <si>
    <t>Unit tests for case, case-less and background contexts.</t>
  </si>
  <si>
    <t>F-04, F-05</t>
  </si>
  <si>
    <t>F-08</t>
  </si>
  <si>
    <t>Replace hard-coded values with config lookups</t>
  </si>
  <si>
    <t>Replace literal class names, email accounts, prefixes, patterns, mailboxes found in F-02.</t>
  </si>
  <si>
    <t>Zero literal hits in re-scan (except Trinity _Ext defaults); Trinity regression green.</t>
  </si>
  <si>
    <t>3, 6</t>
  </si>
  <si>
    <t>F-02, F-07</t>
  </si>
  <si>
    <t>F-09</t>
  </si>
  <si>
    <t>Refactor NewDefaults into template + extensions</t>
  </si>
  <si>
    <t>Split NewDefaults; create DuplicateCheckCriteria_Ext, IsDuplicate_Ext, OnDuplicateFound_Ext, NewDefaults_Ext with Trinity defaults.</t>
  </si>
  <si>
    <t>Trinity duplicate outcomes identical on regression set; PegaUnit per _Ext.</t>
  </si>
  <si>
    <t>10</t>
  </si>
  <si>
    <t>F-10</t>
  </si>
  <si>
    <t>Class-aware duplicate candidate data page</t>
  </si>
  <si>
    <t>D_DuplicateCandidates runs the duplicate report in the case's own class.</t>
  </si>
  <si>
    <t>Query hits only the case's table; response time within agreed limit.</t>
  </si>
  <si>
    <t>F-11</t>
  </si>
  <si>
    <t>Refactor confirmation correspondence</t>
  </si>
  <si>
    <t>Split shared and coverholder paragraphs; sender account from config; ConfirmationRecipients_Ext.</t>
  </si>
  <si>
    <t>Trinity emails unchanged; account name not hard-coded.</t>
  </si>
  <si>
    <t>11</t>
  </si>
  <si>
    <t>F-12</t>
  </si>
  <si>
    <t>Refactor claim summary PDF</t>
  </si>
  <si>
    <t>Shared claim-details section; ClaimSummaryPDF override point; file name prefix and category from config.</t>
  </si>
  <si>
    <t>Trinity PDF identical; file name built from config.</t>
  </si>
  <si>
    <t>F-13</t>
  </si>
  <si>
    <t>Refactor AI image analysis configuration</t>
  </si>
  <si>
    <t>Move prompt and thresholds to config or ImageAnalysisPrompt_Ext; confirm QP context handling.</t>
  </si>
  <si>
    <t>Trinity analysis results unchanged; no literal prompt in framework activity.</t>
  </si>
  <si>
    <t>11, 14</t>
  </si>
  <si>
    <t>F-03, F-26</t>
  </si>
  <si>
    <t>F-14</t>
  </si>
  <si>
    <t>Refactor outbound validation email</t>
  </si>
  <si>
    <t>Template, recipient and subject pattern from config / correspondence by class.</t>
  </si>
  <si>
    <t>Trinity validation email unchanged; subject pattern matches listener parsing.</t>
  </si>
  <si>
    <t>12</t>
  </si>
  <si>
    <t>F-15</t>
  </si>
  <si>
    <t>Modularize triage processing on Work-Channel-Triage-Email</t>
  </si>
  <si>
    <t>Refactor CS-ruleset triage rules into template + ClassifyReply_Ext, ExtractReplyEntities_Ext, ProcessReplyAttachments_Ext, HandOverToFNOL_Ext, OnTriageException_Ext, ResolveCaseFromSubject_Ext.</t>
  </si>
  <si>
    <t>Trinity replies classified, linked and parsed exactly as before; each _Ext documented.</t>
  </si>
  <si>
    <t>6, 12</t>
  </si>
  <si>
    <t>F-01, F-03</t>
  </si>
  <si>
    <t>F-16</t>
  </si>
  <si>
    <t>Stamp coverholder on triage cases</t>
  </si>
  <si>
    <t>SetTriageCoverholder at triage creation from D_CSAppContext; expose column on triage table.</t>
  </si>
  <si>
    <t>Every new triage case has CoverholderCode; column usable in reports and access rules.</t>
  </si>
  <si>
    <t>F-17</t>
  </si>
  <si>
    <t>Refactor parsed-data mapping and validations</t>
  </si>
  <si>
    <t>MapParsedPolicyData_Ext and ApplyPolicyValidations_Ext on HCC-CS-Work-FNOL with Trinity defaults.</t>
  </si>
  <si>
    <t>Trinity review tabs show identical data and validation results.</t>
  </si>
  <si>
    <t>F-18</t>
  </si>
  <si>
    <t>Routing extension points</t>
  </si>
  <si>
    <t>RouteToClaimHandler_Ext and exception routing via config/decision table.</t>
  </si>
  <si>
    <t>Trinity routing unchanged; queues not hard-coded.</t>
  </si>
  <si>
    <t>13, 14</t>
  </si>
  <si>
    <t>F-19</t>
  </si>
  <si>
    <t>Libra ID validation from config</t>
  </si>
  <si>
    <t>ValidateLibraID_Ext using pattern from config.</t>
  </si>
  <si>
    <t>Trinity Libra IDs validate as today; invalid formats rejected.</t>
  </si>
  <si>
    <t>F-20</t>
  </si>
  <si>
    <t>Parameterize LOV and data-table data pages</t>
  </si>
  <si>
    <t>Add CoverholderCode parameter; class from config via pxRetrieveReportData.</t>
  </si>
  <si>
    <t>Trinity dropdowns unchanged; separate cache per coverholder.</t>
  </si>
  <si>
    <t>9</t>
  </si>
  <si>
    <t>F-21</t>
  </si>
  <si>
    <t>Make DX component configuration-driven</t>
  </si>
  <si>
    <t>Remove hard-coded values; add D_WebFormBootstrap; caseTypeID, LOVs, branding from config/bundle.</t>
  </si>
  <si>
    <t>Trinity form behaves identically; no literal case type or coverholder in component code.</t>
  </si>
  <si>
    <t>CS / CSWebExt</t>
  </si>
  <si>
    <t>8</t>
  </si>
  <si>
    <t>F-22</t>
  </si>
  <si>
    <t>Move component to shared component ruleset</t>
  </si>
  <si>
    <t>Publish the custom component into a shared CS component ruleset.</t>
  </si>
  <si>
    <t>Single component version used by CSWebExt; old copy withdrawn.</t>
  </si>
  <si>
    <t>4, 8</t>
  </si>
  <si>
    <t>F-23</t>
  </si>
  <si>
    <t>Bundle key-parity check</t>
  </si>
  <si>
    <t>Pipeline script comparing keys across web app bundles.</t>
  </si>
  <si>
    <t>Pipeline fails on missing keys.</t>
  </si>
  <si>
    <t>F-24</t>
  </si>
  <si>
    <t>Extension point catalogue</t>
  </si>
  <si>
    <t>Document each _Ext rule: purpose, inputs, outputs, default.</t>
  </si>
  <si>
    <t>Catalogue published and linked from rule descriptions.</t>
  </si>
  <si>
    <t>13</t>
  </si>
  <si>
    <t>F-09, F-15</t>
  </si>
  <si>
    <t>F-25</t>
  </si>
  <si>
    <t>Trinity regression and CS framework release</t>
  </si>
  <si>
    <t>Full Trinity regression after Phase 0; release CS version.</t>
  </si>
  <si>
    <t>Regression results identical to baseline; CS version locked.</t>
  </si>
  <si>
    <t>15, 16</t>
  </si>
  <si>
    <t>F-08 to F-22</t>
  </si>
  <si>
    <t>F-26</t>
  </si>
  <si>
    <t>Background processing inventory</t>
  </si>
  <si>
    <t>List QPs, job schedulers, agents, SLAs in FNOL flow and their access-group context.</t>
  </si>
  <si>
    <t>Inventory with decision per item: separate AF instance or case-resolved.</t>
  </si>
  <si>
    <t>14</t>
  </si>
  <si>
    <t>F-27</t>
  </si>
  <si>
    <t>Framework governance model</t>
  </si>
  <si>
    <t>Versioning of CS, change requests with impact assessment for all coverholders, design authority, extension contract and deprecation policy.</t>
  </si>
  <si>
    <t>Process approved and published.</t>
  </si>
  <si>
    <t>All</t>
  </si>
  <si>
    <t>15</t>
  </si>
  <si>
    <t>A-01</t>
  </si>
  <si>
    <t>Create CSAF application</t>
  </si>
  <si>
    <t>CSAF built on CS; rulesets CSAF, CSAFInt, CSAFData; case types list.</t>
  </si>
  <si>
    <t>Application opens; only AF case types shown.</t>
  </si>
  <si>
    <t>CSAF</t>
  </si>
  <si>
    <t>4</t>
  </si>
  <si>
    <t>A-02</t>
  </si>
  <si>
    <t>AF class group and classes</t>
  </si>
  <si>
    <t>HCC-CSAF-Work class group, HCC-CSAF-Work-FNOL with directed parent HCC-CS-Work-FNOL; table mappings.</t>
  </si>
  <si>
    <t>Classes created; rule resolution shows CS rules inherited.</t>
  </si>
  <si>
    <t>5</t>
  </si>
  <si>
    <t>A-03</t>
  </si>
  <si>
    <t>AF database tables (DDL)</t>
  </si>
  <si>
    <t>Case, history and index tables with columns matching CS exposed columns plus duplicate-check indexes.</t>
  </si>
  <si>
    <t>DDL executed in all environments; column parity verified.</t>
  </si>
  <si>
    <t>DBA</t>
  </si>
  <si>
    <t>A-04</t>
  </si>
  <si>
    <t>AF case type</t>
  </si>
  <si>
    <t>Thin case type rule calling CS processes; work ID prefix; pyDefault sets AF.</t>
  </si>
  <si>
    <t>AF case created with correct prefix and CoverholderCode AF.</t>
  </si>
  <si>
    <t>A-02, A-03</t>
  </si>
  <si>
    <t>A-05</t>
  </si>
  <si>
    <t>Stage-list comparison test</t>
  </si>
  <si>
    <t>Unit test comparing CS and AF case type stages.</t>
  </si>
  <si>
    <t>Test fails when stages diverge unexpectedly.</t>
  </si>
  <si>
    <t>A-06</t>
  </si>
  <si>
    <t>AF config row and context override</t>
  </si>
  <si>
    <t>AF row in config table; LoadAppContext override in CSAF ruleset.</t>
  </si>
  <si>
    <t>D_CSAppContext returns AF in CSAF context.</t>
  </si>
  <si>
    <t>A-01, F-04</t>
  </si>
  <si>
    <t>A-07</t>
  </si>
  <si>
    <t>AF LOV data type</t>
  </si>
  <si>
    <t>HCC-CSAF-Data-LOV, own table, AF-only properties, data load, added to app data types.</t>
  </si>
  <si>
    <t>AF dropdowns load AF values via shared data pages.</t>
  </si>
  <si>
    <t>A-02, F-20</t>
  </si>
  <si>
    <t>A-08</t>
  </si>
  <si>
    <t>Other AF data tables</t>
  </si>
  <si>
    <t>Apply LOV pattern to other web form / validation tables.</t>
  </si>
  <si>
    <t>Each table loads AF data through shared data pages.</t>
  </si>
  <si>
    <t>A-09</t>
  </si>
  <si>
    <t>AF roles, AROs and access groups</t>
  </si>
  <si>
    <t>Access roles depending on CS roles; AROs on HCC-CSAF-; access groups ClaimHandler, Supervisor, Background, Admin.</t>
  </si>
  <si>
    <t>AF users access only AF cases; Trinity users cannot open AF cases.</t>
  </si>
  <si>
    <t>7</t>
  </si>
  <si>
    <t>A-10</t>
  </si>
  <si>
    <t>Triage case isolation by coverholder</t>
  </si>
  <si>
    <t>Access When / access control policy on .CoverholderCode for Work-Channel-Triage-Email.</t>
  </si>
  <si>
    <t>Each coverholder sees only its own triage cases in UI, search and reports.</t>
  </si>
  <si>
    <t>CS / CSAF</t>
  </si>
  <si>
    <t>F-16, A-09</t>
  </si>
  <si>
    <t>A-11</t>
  </si>
  <si>
    <t>AF work groups and work queues</t>
  </si>
  <si>
    <t>CSAF_FNOL_Review, CSAF_Exceptions etc.; routing override.</t>
  </si>
  <si>
    <t>AF assignments land only in AF queues.</t>
  </si>
  <si>
    <t>A-09, F-18</t>
  </si>
  <si>
    <t>A-12</t>
  </si>
  <si>
    <t>Okta group mapping for AF users</t>
  </si>
  <si>
    <t>Okta group(s) mapped to CSAF access groups in the authentication service.</t>
  </si>
  <si>
    <t>AF user logs in via Okta into CSAF portal with correct access group.</t>
  </si>
  <si>
    <t>A-13</t>
  </si>
  <si>
    <t>AF SLA settings</t>
  </si>
  <si>
    <t>AF goals/deadlines via config or SLA overrides.</t>
  </si>
  <si>
    <t>AF SLAs fire with AF durations.</t>
  </si>
  <si>
    <t>W-01</t>
  </si>
  <si>
    <t>Create CSAFWebExt application</t>
  </si>
  <si>
    <t>CSAFWebExt built on CSAF (not CS).</t>
  </si>
  <si>
    <t>Guest requestor's stack shows CSAFWebExt &gt; CSAF &gt; CS.</t>
  </si>
  <si>
    <t>CSAFWebExt</t>
  </si>
  <si>
    <t>W-02</t>
  </si>
  <si>
    <t>AF guest operator and access group</t>
  </si>
  <si>
    <t>AF Guest User with CSAFWebExt:Guest: create case, read web form data pages, upload only.</t>
  </si>
  <si>
    <t>Guest cannot open, list or search any case.</t>
  </si>
  <si>
    <t>W-03</t>
  </si>
  <si>
    <t>AF OAuth client and CORS</t>
  </si>
  <si>
    <t>OAuth 2.0 client registration for AF web form; CORS restricted to AF host.</t>
  </si>
  <si>
    <t>DX calls from AF host succeed; other origins rejected.</t>
  </si>
  <si>
    <t>7, 8</t>
  </si>
  <si>
    <t>W-04</t>
  </si>
  <si>
    <t>AF localization bundle</t>
  </si>
  <si>
    <t>Bundle in CSAFWebExt with same keys; AF labels, placeholders, errors, tooltips, regex.</t>
  </si>
  <si>
    <t>All keys present (parity check green); AF wording shown.</t>
  </si>
  <si>
    <t>W-01, F-23</t>
  </si>
  <si>
    <t>W-05</t>
  </si>
  <si>
    <t>AF web form bootstrap values</t>
  </si>
  <si>
    <t>Case type ID, enabled sections, upload limits, allowed file types for AF.</t>
  </si>
  <si>
    <t>Component bootstraps AF values; creates HCC-CSAF-Work-FNOL.</t>
  </si>
  <si>
    <t>F-21, A-06</t>
  </si>
  <si>
    <t>W-06</t>
  </si>
  <si>
    <t>AF-only optional fields</t>
  </si>
  <si>
    <t>Add AF-only fields as config-enabled optional fields in the shared component (only if AF needs them).</t>
  </si>
  <si>
    <t>Fields hidden for Trinity, shown for AF.</t>
  </si>
  <si>
    <t>W-07</t>
  </si>
  <si>
    <t>Server-side validation for AF submission</t>
  </si>
  <si>
    <t>Edit-validate on HCC-CSAF-Work-FNOL using the same patterns as the bundle/config.</t>
  </si>
  <si>
    <t>Invalid payloads rejected via DX API even when client checks are bypassed.</t>
  </si>
  <si>
    <t>W-08</t>
  </si>
  <si>
    <t>Anonymous channel hardening</t>
  </si>
  <si>
    <t>CAPTCHA / rate limiting, upload type allow-list, size limit, malware scan, log masking.</t>
  </si>
  <si>
    <t>Pen-test findings on the channel closed; uploads scanned before AI analysis.</t>
  </si>
  <si>
    <t>W-09</t>
  </si>
  <si>
    <t>Embed and brand on AF host page</t>
  </si>
  <si>
    <t>Embed component with AF client ID; AF theme/logo via bundle or theme settings.</t>
  </si>
  <si>
    <t>AF page renders AF branding end to end.</t>
  </si>
  <si>
    <t>W-03, W-04</t>
  </si>
  <si>
    <t>W-10</t>
  </si>
  <si>
    <t>DX API contract tests</t>
  </si>
  <si>
    <t>Automated create tests for both guests: class, prefix, coverholder, attachments.</t>
  </si>
  <si>
    <t>Tests in pipeline; green for Trinity and AF.</t>
  </si>
  <si>
    <t>S-01</t>
  </si>
  <si>
    <t>AF duplicate check rules</t>
  </si>
  <si>
    <t>AF overrides of DuplicateCheckCriteria_Ext, IsDuplicate_Ext, OnDuplicateFound_Ext.</t>
  </si>
  <si>
    <t>PegaUnit cases for AF rules; no duplicate details exposed to claimant.</t>
  </si>
  <si>
    <t>F-09, A-04</t>
  </si>
  <si>
    <t>S-02</t>
  </si>
  <si>
    <t>AF confirmation emails</t>
  </si>
  <si>
    <t>AF ClaimConfirmation templates and paragraphs; recipient rules.</t>
  </si>
  <si>
    <t>AF claimant/policy holder receive AF-branded email from AF account.</t>
  </si>
  <si>
    <t>F-11, S-06</t>
  </si>
  <si>
    <t>S-03</t>
  </si>
  <si>
    <t>AF claim summary PDF</t>
  </si>
  <si>
    <t>AF branding section; embedded fonts/images as binary rules.</t>
  </si>
  <si>
    <t>AF PDF attached with AF name pattern.</t>
  </si>
  <si>
    <t>S-04</t>
  </si>
  <si>
    <t>AF image analysis settings and DPIA</t>
  </si>
  <si>
    <t>AF prompts/thresholds only if different; confirm privacy terms for AI processing.</t>
  </si>
  <si>
    <t>DPIA approved; AF photos analysed with AF settings.</t>
  </si>
  <si>
    <t>S-05</t>
  </si>
  <si>
    <t>AF validation email</t>
  </si>
  <si>
    <t>AF template, recipient mailbox, subject with AF ID pattern.</t>
  </si>
  <si>
    <t>AF validation team receives request with parsable subject.</t>
  </si>
  <si>
    <t>S-06</t>
  </si>
  <si>
    <t>AF email accounts</t>
  </si>
  <si>
    <t>Inbound and outbound AF email accounts with modern auth; secrets in auth profile.</t>
  </si>
  <si>
    <t>Accounts connect in all environments.</t>
  </si>
  <si>
    <t>S-07</t>
  </si>
  <si>
    <t>AF email channel and listener</t>
  </si>
  <si>
    <t>Email channel in CSAF; generated listener and service email; service package access group CSAF:Background.</t>
  </si>
  <si>
    <t>AF reply creates triage case in CSAF context with CoverholderCode AF.</t>
  </si>
  <si>
    <t>S-06, A-09, F-16</t>
  </si>
  <si>
    <t>S-08</t>
  </si>
  <si>
    <t>AF triage extension overrides</t>
  </si>
  <si>
    <t>Override triage _Ext rules in CSAF ruleset only where AF replies differ.</t>
  </si>
  <si>
    <t>AF replies classified, linked and parsed; Trinity unaffected.</t>
  </si>
  <si>
    <t>F-15, S-07</t>
  </si>
  <si>
    <t>S-09</t>
  </si>
  <si>
    <t>AF NLP / text analytics model</t>
  </si>
  <si>
    <t>Separate AF model only if AF reply format differs materially.</t>
  </si>
  <si>
    <t>Model accuracy on AF sample meets agreed threshold.</t>
  </si>
  <si>
    <t>S-10</t>
  </si>
  <si>
    <t>AF parsed-data mapping and validations</t>
  </si>
  <si>
    <t>AF overrides of MapParsedPolicyData_Ext and ApplyPolicyValidations_Ext.</t>
  </si>
  <si>
    <t>AF review tabs show correct data and AF validation outcomes.</t>
  </si>
  <si>
    <t>F-17, S-08</t>
  </si>
  <si>
    <t>S-11</t>
  </si>
  <si>
    <t>AF review view overrides</t>
  </si>
  <si>
    <t>View overrides only for AF-only fields.</t>
  </si>
  <si>
    <t>AF-only fields visible on review tabs.</t>
  </si>
  <si>
    <t>S-12</t>
  </si>
  <si>
    <t>AF queue processors and job schedulers</t>
  </si>
  <si>
    <t>AF instances with CSAF:Background, or verified case-resolved, per F-26.</t>
  </si>
  <si>
    <t>AF background items use AF templates, accounts and rules.</t>
  </si>
  <si>
    <t>F-26, A-09</t>
  </si>
  <si>
    <t>S-13</t>
  </si>
  <si>
    <t>AF Libra entity / book code</t>
  </si>
  <si>
    <t>Capture and display AF entity code if Libra requires it.</t>
  </si>
  <si>
    <t>Libra ID and entity stored on AF case.</t>
  </si>
  <si>
    <t>S-14</t>
  </si>
  <si>
    <t>AF reports and extracts</t>
  </si>
  <si>
    <t>AF report definitions; CoverholderCode in BIX / warehouse extracts.</t>
  </si>
  <si>
    <t>AF MI available; extracts split by coverholder.</t>
  </si>
  <si>
    <t>S-15</t>
  </si>
  <si>
    <t>AF search, retention and archiving</t>
  </si>
  <si>
    <t>Search config for AF classes; archive/purge policies for AF case and triage.</t>
  </si>
  <si>
    <t>Policies configured and tested in non-prod.</t>
  </si>
  <si>
    <t>T-01</t>
  </si>
  <si>
    <t>AF end-to-end scenario suite</t>
  </si>
  <si>
    <t>Submit, duplicate, emails, AI, validation reply, triage, Libra, resolve.</t>
  </si>
  <si>
    <t>All AF scenarios pass in staging.</t>
  </si>
  <si>
    <t>Phase 3</t>
  </si>
  <si>
    <t>T-02</t>
  </si>
  <si>
    <t>Isolation and security test pack</t>
  </si>
  <si>
    <t>Cross-coverholder access via UI, URL, DX API, search, reports, triage.</t>
  </si>
  <si>
    <t>No cross-coverholder access possible.</t>
  </si>
  <si>
    <t>A-09, A-10</t>
  </si>
  <si>
    <t>T-03</t>
  </si>
  <si>
    <t>Background-context tests</t>
  </si>
  <si>
    <t>Verify QPs, jobs and listener process AF items with AF rules.</t>
  </si>
  <si>
    <t>Log assertions confirm AF context for every background step.</t>
  </si>
  <si>
    <t>T-04</t>
  </si>
  <si>
    <t>Performance tests</t>
  </si>
  <si>
    <t>DX create + duplicate check at peak AF volume; AI queue throughput.</t>
  </si>
  <si>
    <t>Response times and throughput within agreed limits.</t>
  </si>
  <si>
    <t>T-05</t>
  </si>
  <si>
    <t>Security review of anonymous AF channel</t>
  </si>
  <si>
    <t>Pen test of CSAFWebExt and DX endpoints.</t>
  </si>
  <si>
    <t>No open high/critical findings.</t>
  </si>
  <si>
    <t>T-06</t>
  </si>
  <si>
    <t>Product rules and environment settings</t>
  </si>
  <si>
    <t>Product rules CS_Framework, CSAF, CSAFWebExt; env-specific values outside product rules.</t>
  </si>
  <si>
    <t>Clean import into a fresh environment.</t>
  </si>
  <si>
    <t>T-07</t>
  </si>
  <si>
    <t>Pipeline with dual regression</t>
  </si>
  <si>
    <t>CS change triggers Trinity and AF regression; deploy order enforced.</t>
  </si>
  <si>
    <t>Pipeline blocks CS merge without green dual regression.</t>
  </si>
  <si>
    <t>W-10, T-01</t>
  </si>
  <si>
    <t>T-08</t>
  </si>
  <si>
    <t>Production deployment and hypercare</t>
  </si>
  <si>
    <t>Deploy in order; smoke test both coverholders; hypercare.</t>
  </si>
  <si>
    <t>Both coverholders live and stable for the hypercare period.</t>
  </si>
  <si>
    <t>16</t>
  </si>
  <si>
    <t>T-01 to T-07</t>
  </si>
  <si>
    <t>T-09</t>
  </si>
  <si>
    <t>Automated framework checks</t>
  </si>
  <si>
    <t>Pipeline checks: literal scan on CS, guardrail threshold, catalogue entry for new extension points.</t>
  </si>
  <si>
    <t>Pipeline fails on violations.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</si>
</sst>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8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0" xfId="0" applyFont="1"/>
    <xf numFmtId="0" fontId="4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9" fillId="0" borderId="0" xfId="0" applyFont="1"/>
  </cellXfs>
  <cellStyles count="1">
    <cellStyle name="Normal" xfId="0" builtinId="0"/>
  </cellStyles>
  <dxfs count="8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showGridLines="0" tabSelected="1" zoomScale="130" zoomScaleNormal="130" workbookViewId="0">
      <pane ySplit="3" topLeftCell="A4" activePane="bottomLeft" state="frozen"/>
      <selection pane="bottomLeft" activeCell="F5" sqref="F5"/>
    </sheetView>
  </sheetViews>
  <sheetFormatPr baseColWidth="10" defaultColWidth="8.6640625" defaultRowHeight="15" x14ac:dyDescent="0.2"/>
  <cols>
    <col min="1" max="1" width="38" customWidth="1"/>
    <col min="2" max="5" width="16" customWidth="1"/>
  </cols>
  <sheetData>
    <row r="1" spans="1:5" ht="18" x14ac:dyDescent="0.2">
      <c r="A1" s="2" t="s">
        <v>0</v>
      </c>
    </row>
    <row r="2" spans="1:5" x14ac:dyDescent="0.2">
      <c r="A2" s="3" t="s">
        <v>1</v>
      </c>
    </row>
    <row r="4" spans="1:5" ht="70" x14ac:dyDescent="0.2">
      <c r="A4" s="4" t="s">
        <v>2</v>
      </c>
      <c r="B4" s="5">
        <v>20</v>
      </c>
      <c r="C4" s="6" t="s">
        <v>3</v>
      </c>
    </row>
    <row r="6" spans="1:5" ht="28" x14ac:dyDescent="0.2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</row>
    <row r="7" spans="1:5" x14ac:dyDescent="0.2">
      <c r="A7" s="6" t="s">
        <v>9</v>
      </c>
      <c r="B7" s="6">
        <f>COUNTIF(Backlog!$B$2:$B$75,A7)</f>
        <v>27</v>
      </c>
      <c r="C7" s="6">
        <f>SUMIFS(Backlog!$J$2:$J$75,Backlog!$B$2:$B$75,A7)</f>
        <v>100</v>
      </c>
      <c r="D7" s="6">
        <f>SUMIFS(Backlog!$J$2:$J$75,Backlog!$B$2:$B$75,A7,Backlog!$N$2:$N$75,"Done")</f>
        <v>0</v>
      </c>
      <c r="E7" s="8">
        <f>IF($B$4&gt;0,C7/$B$4,0)</f>
        <v>5</v>
      </c>
    </row>
    <row r="8" spans="1:5" x14ac:dyDescent="0.2">
      <c r="A8" s="6" t="s">
        <v>10</v>
      </c>
      <c r="B8" s="6">
        <f>COUNTIF(Backlog!$B$2:$B$75,A8)</f>
        <v>13</v>
      </c>
      <c r="C8" s="6">
        <f>SUMIFS(Backlog!$J$2:$J$75,Backlog!$B$2:$B$75,A8)</f>
        <v>34</v>
      </c>
      <c r="D8" s="6">
        <f>SUMIFS(Backlog!$J$2:$J$75,Backlog!$B$2:$B$75,A8,Backlog!$N$2:$N$75,"Done")</f>
        <v>0</v>
      </c>
      <c r="E8" s="8">
        <f>IF($B$4&gt;0,C8/$B$4,0)</f>
        <v>1.7</v>
      </c>
    </row>
    <row r="9" spans="1:5" x14ac:dyDescent="0.2">
      <c r="A9" s="6" t="s">
        <v>11</v>
      </c>
      <c r="B9" s="6">
        <f>COUNTIF(Backlog!$B$2:$B$75,A9)</f>
        <v>10</v>
      </c>
      <c r="C9" s="6">
        <f>SUMIFS(Backlog!$J$2:$J$75,Backlog!$B$2:$B$75,A9)</f>
        <v>30</v>
      </c>
      <c r="D9" s="6">
        <f>SUMIFS(Backlog!$J$2:$J$75,Backlog!$B$2:$B$75,A9,Backlog!$N$2:$N$75,"Done")</f>
        <v>0</v>
      </c>
      <c r="E9" s="8">
        <f>IF($B$4&gt;0,C9/$B$4,0)</f>
        <v>1.5</v>
      </c>
    </row>
    <row r="10" spans="1:5" x14ac:dyDescent="0.2">
      <c r="A10" s="6" t="s">
        <v>12</v>
      </c>
      <c r="B10" s="6">
        <f>COUNTIF(Backlog!$B$2:$B$75,A10)</f>
        <v>15</v>
      </c>
      <c r="C10" s="6">
        <f>SUMIFS(Backlog!$J$2:$J$75,Backlog!$B$2:$B$75,A10)</f>
        <v>50</v>
      </c>
      <c r="D10" s="6">
        <f>SUMIFS(Backlog!$J$2:$J$75,Backlog!$B$2:$B$75,A10,Backlog!$N$2:$N$75,"Done")</f>
        <v>0</v>
      </c>
      <c r="E10" s="8">
        <f>IF($B$4&gt;0,C10/$B$4,0)</f>
        <v>2.5</v>
      </c>
    </row>
    <row r="11" spans="1:5" x14ac:dyDescent="0.2">
      <c r="A11" s="6" t="s">
        <v>13</v>
      </c>
      <c r="B11" s="6">
        <f>COUNTIF(Backlog!$B$2:$B$75,A11)</f>
        <v>9</v>
      </c>
      <c r="C11" s="6">
        <f>SUMIFS(Backlog!$J$2:$J$75,Backlog!$B$2:$B$75,A11)</f>
        <v>32</v>
      </c>
      <c r="D11" s="6">
        <f>SUMIFS(Backlog!$J$2:$J$75,Backlog!$B$2:$B$75,A11,Backlog!$N$2:$N$75,"Done")</f>
        <v>0</v>
      </c>
      <c r="E11" s="8">
        <f>IF($B$4&gt;0,C11/$B$4,0)</f>
        <v>1.6</v>
      </c>
    </row>
    <row r="12" spans="1:5" x14ac:dyDescent="0.2">
      <c r="A12" s="4" t="s">
        <v>14</v>
      </c>
      <c r="B12" s="4">
        <f>SUM(B7:B11)</f>
        <v>74</v>
      </c>
      <c r="C12" s="4">
        <f>SUM(C7:C11)</f>
        <v>246</v>
      </c>
      <c r="D12" s="4">
        <f>SUM(D7:D11)</f>
        <v>0</v>
      </c>
      <c r="E12" s="9">
        <f>SUM(E7:E11)</f>
        <v>12.299999999999999</v>
      </c>
    </row>
    <row r="14" spans="1:5" ht="28" x14ac:dyDescent="0.2">
      <c r="A14" s="7" t="s">
        <v>15</v>
      </c>
      <c r="B14" s="7" t="s">
        <v>5</v>
      </c>
      <c r="C14" s="7" t="s">
        <v>6</v>
      </c>
      <c r="D14" s="7" t="s">
        <v>7</v>
      </c>
      <c r="E14" s="7" t="s">
        <v>8</v>
      </c>
    </row>
    <row r="15" spans="1:5" x14ac:dyDescent="0.2">
      <c r="A15" s="6" t="s">
        <v>16</v>
      </c>
      <c r="B15" s="6">
        <f>COUNTIF(Backlog!$L$2:$L$75,A15)</f>
        <v>59</v>
      </c>
      <c r="C15" s="6">
        <f>SUMIFS(Backlog!$J$2:$J$75,Backlog!$L$2:$L$75,A15)</f>
        <v>205</v>
      </c>
      <c r="D15" s="6">
        <f>SUMIFS(Backlog!$J$2:$J$75,Backlog!$L$2:$L$75,A15,Backlog!$N$2:$N$75,"Done")</f>
        <v>0</v>
      </c>
      <c r="E15" s="8">
        <f>IF($B$4&gt;0,C15/$B$4,0)</f>
        <v>10.25</v>
      </c>
    </row>
    <row r="16" spans="1:5" x14ac:dyDescent="0.2">
      <c r="A16" s="6" t="s">
        <v>17</v>
      </c>
      <c r="B16" s="6">
        <f>COUNTIF(Backlog!$L$2:$L$75,A16)</f>
        <v>14</v>
      </c>
      <c r="C16" s="6">
        <f>SUMIFS(Backlog!$J$2:$J$75,Backlog!$L$2:$L$75,A16)</f>
        <v>39</v>
      </c>
      <c r="D16" s="6">
        <f>SUMIFS(Backlog!$J$2:$J$75,Backlog!$L$2:$L$75,A16,Backlog!$N$2:$N$75,"Done")</f>
        <v>0</v>
      </c>
      <c r="E16" s="8">
        <f>IF($B$4&gt;0,C16/$B$4,0)</f>
        <v>1.95</v>
      </c>
    </row>
    <row r="17" spans="1:5" x14ac:dyDescent="0.2">
      <c r="A17" s="6" t="s">
        <v>18</v>
      </c>
      <c r="B17" s="6">
        <f>COUNTIF(Backlog!$L$2:$L$75,A17)</f>
        <v>1</v>
      </c>
      <c r="C17" s="6">
        <f>SUMIFS(Backlog!$J$2:$J$75,Backlog!$L$2:$L$75,A17)</f>
        <v>2</v>
      </c>
      <c r="D17" s="6">
        <f>SUMIFS(Backlog!$J$2:$J$75,Backlog!$L$2:$L$75,A17,Backlog!$N$2:$N$75,"Done")</f>
        <v>0</v>
      </c>
      <c r="E17" s="8">
        <f>IF($B$4&gt;0,C17/$B$4,0)</f>
        <v>0.1</v>
      </c>
    </row>
    <row r="18" spans="1:5" x14ac:dyDescent="0.2">
      <c r="A18" s="4" t="s">
        <v>14</v>
      </c>
      <c r="B18" s="4">
        <f>SUM(B15:B17)</f>
        <v>74</v>
      </c>
      <c r="C18" s="4">
        <f>SUM(C15:C17)</f>
        <v>246</v>
      </c>
      <c r="D18" s="4">
        <f>SUM(D15:D17)</f>
        <v>0</v>
      </c>
      <c r="E18" s="9">
        <f>SUM(E15:E17)</f>
        <v>12.299999999999999</v>
      </c>
    </row>
    <row r="20" spans="1:5" ht="28" x14ac:dyDescent="0.2">
      <c r="A20" s="7" t="s">
        <v>19</v>
      </c>
      <c r="B20" s="7" t="s">
        <v>5</v>
      </c>
      <c r="C20" s="7" t="s">
        <v>6</v>
      </c>
      <c r="D20" s="7" t="s">
        <v>7</v>
      </c>
      <c r="E20" s="7" t="s">
        <v>8</v>
      </c>
    </row>
    <row r="21" spans="1:5" x14ac:dyDescent="0.2">
      <c r="A21" s="6" t="s">
        <v>20</v>
      </c>
      <c r="B21" s="6">
        <f>COUNTIF(Backlog!$K$2:$K$75,A21)</f>
        <v>19</v>
      </c>
      <c r="C21" s="6">
        <f>SUMIFS(Backlog!$J$2:$J$75,Backlog!$K$2:$K$75,A21)</f>
        <v>107</v>
      </c>
      <c r="D21" s="6">
        <f>SUMIFS(Backlog!$J$2:$J$75,Backlog!$K$2:$K$75,A21,Backlog!$N$2:$N$75,"Done")</f>
        <v>0</v>
      </c>
      <c r="E21" s="8">
        <f>IF($B$4&gt;0,C21/$B$4,0)</f>
        <v>5.35</v>
      </c>
    </row>
    <row r="22" spans="1:5" x14ac:dyDescent="0.2">
      <c r="A22" s="6" t="s">
        <v>21</v>
      </c>
      <c r="B22" s="6">
        <f>COUNTIF(Backlog!$K$2:$K$75,A22)</f>
        <v>31</v>
      </c>
      <c r="C22" s="6">
        <f>SUMIFS(Backlog!$J$2:$J$75,Backlog!$K$2:$K$75,A22)</f>
        <v>87</v>
      </c>
      <c r="D22" s="6">
        <f>SUMIFS(Backlog!$J$2:$J$75,Backlog!$K$2:$K$75,A22,Backlog!$N$2:$N$75,"Done")</f>
        <v>0</v>
      </c>
      <c r="E22" s="8">
        <f>IF($B$4&gt;0,C22/$B$4,0)</f>
        <v>4.3499999999999996</v>
      </c>
    </row>
    <row r="23" spans="1:5" x14ac:dyDescent="0.2">
      <c r="A23" s="6" t="s">
        <v>22</v>
      </c>
      <c r="B23" s="6">
        <f>COUNTIF(Backlog!$K$2:$K$75,A23)</f>
        <v>24</v>
      </c>
      <c r="C23" s="6">
        <f>SUMIFS(Backlog!$J$2:$J$75,Backlog!$K$2:$K$75,A23)</f>
        <v>52</v>
      </c>
      <c r="D23" s="6">
        <f>SUMIFS(Backlog!$J$2:$J$75,Backlog!$K$2:$K$75,A23,Backlog!$N$2:$N$75,"Done")</f>
        <v>0</v>
      </c>
      <c r="E23" s="8">
        <f>IF($B$4&gt;0,C23/$B$4,0)</f>
        <v>2.6</v>
      </c>
    </row>
    <row r="24" spans="1:5" x14ac:dyDescent="0.2">
      <c r="A24" s="4" t="s">
        <v>14</v>
      </c>
      <c r="B24" s="4">
        <f>SUM(B21:B23)</f>
        <v>74</v>
      </c>
      <c r="C24" s="4">
        <f>SUM(C21:C23)</f>
        <v>246</v>
      </c>
      <c r="D24" s="4">
        <f>SUM(D21:D23)</f>
        <v>0</v>
      </c>
      <c r="E24" s="9">
        <f>SUM(E21:E23)</f>
        <v>12.299999999999999</v>
      </c>
    </row>
    <row r="26" spans="1:5" ht="28" x14ac:dyDescent="0.2">
      <c r="A26" s="7" t="s">
        <v>23</v>
      </c>
      <c r="B26" s="7" t="s">
        <v>5</v>
      </c>
      <c r="C26" s="7" t="s">
        <v>6</v>
      </c>
      <c r="D26" s="7" t="s">
        <v>7</v>
      </c>
      <c r="E26" s="7" t="s">
        <v>8</v>
      </c>
    </row>
    <row r="27" spans="1:5" x14ac:dyDescent="0.2">
      <c r="A27" s="6" t="s">
        <v>24</v>
      </c>
      <c r="B27" s="6">
        <f>COUNTIF(Backlog!$I$2:$I$75,A27)</f>
        <v>26</v>
      </c>
      <c r="C27" s="6">
        <f>SUMIFS(Backlog!$J$2:$J$75,Backlog!$I$2:$I$75,A27)</f>
        <v>52</v>
      </c>
      <c r="D27" s="6">
        <f>SUMIFS(Backlog!$J$2:$J$75,Backlog!$I$2:$I$75,A27,Backlog!$N$2:$N$75,"Done")</f>
        <v>0</v>
      </c>
      <c r="E27" s="8">
        <f>IF($B$4&gt;0,C27/$B$4,0)</f>
        <v>2.6</v>
      </c>
    </row>
    <row r="28" spans="1:5" x14ac:dyDescent="0.2">
      <c r="A28" s="6" t="s">
        <v>25</v>
      </c>
      <c r="B28" s="6">
        <f>COUNTIF(Backlog!$I$2:$I$75,A28)</f>
        <v>38</v>
      </c>
      <c r="C28" s="6">
        <f>SUMIFS(Backlog!$J$2:$J$75,Backlog!$I$2:$I$75,A28)</f>
        <v>114</v>
      </c>
      <c r="D28" s="6">
        <f>SUMIFS(Backlog!$J$2:$J$75,Backlog!$I$2:$I$75,A28,Backlog!$N$2:$N$75,"Done")</f>
        <v>0</v>
      </c>
      <c r="E28" s="8">
        <f>IF($B$4&gt;0,C28/$B$4,0)</f>
        <v>5.7</v>
      </c>
    </row>
    <row r="29" spans="1:5" x14ac:dyDescent="0.2">
      <c r="A29" s="6" t="s">
        <v>26</v>
      </c>
      <c r="B29" s="6">
        <f>COUNTIF(Backlog!$I$2:$I$75,A29)</f>
        <v>10</v>
      </c>
      <c r="C29" s="6">
        <f>SUMIFS(Backlog!$J$2:$J$75,Backlog!$I$2:$I$75,A29)</f>
        <v>80</v>
      </c>
      <c r="D29" s="6">
        <f>SUMIFS(Backlog!$J$2:$J$75,Backlog!$I$2:$I$75,A29,Backlog!$N$2:$N$75,"Done")</f>
        <v>0</v>
      </c>
      <c r="E29" s="8">
        <f>IF($B$4&gt;0,C29/$B$4,0)</f>
        <v>4</v>
      </c>
    </row>
    <row r="30" spans="1:5" x14ac:dyDescent="0.2">
      <c r="A30" s="4" t="s">
        <v>14</v>
      </c>
      <c r="B30" s="4">
        <f>SUM(B27:B29)</f>
        <v>74</v>
      </c>
      <c r="C30" s="4">
        <f>SUM(C27:C29)</f>
        <v>246</v>
      </c>
      <c r="D30" s="4">
        <f>SUM(D27:D29)</f>
        <v>0</v>
      </c>
      <c r="E30" s="9">
        <f>SUM(E27:E29)</f>
        <v>12.3</v>
      </c>
    </row>
    <row r="32" spans="1:5" ht="28" x14ac:dyDescent="0.2">
      <c r="A32" s="7" t="s">
        <v>27</v>
      </c>
      <c r="B32" s="7" t="s">
        <v>5</v>
      </c>
      <c r="C32" s="7" t="s">
        <v>6</v>
      </c>
      <c r="D32" s="7" t="s">
        <v>7</v>
      </c>
      <c r="E32" s="7" t="s">
        <v>8</v>
      </c>
    </row>
    <row r="33" spans="1:5" x14ac:dyDescent="0.2">
      <c r="A33" s="6" t="s">
        <v>28</v>
      </c>
      <c r="B33" s="6">
        <f>COUNTIF(Backlog!$C$2:$C$75,A33)</f>
        <v>3</v>
      </c>
      <c r="C33" s="6">
        <f>SUMIFS(Backlog!$J$2:$J$75,Backlog!$C$2:$C$75,A33)</f>
        <v>13</v>
      </c>
      <c r="D33" s="6">
        <f>SUMIFS(Backlog!$J$2:$J$75,Backlog!$C$2:$C$75,A33,Backlog!$N$2:$N$75,"Done")</f>
        <v>0</v>
      </c>
      <c r="E33" s="8">
        <f t="shared" ref="E33:E62" si="0">IF($B$4&gt;0,C33/$B$4,0)</f>
        <v>0.65</v>
      </c>
    </row>
    <row r="34" spans="1:5" x14ac:dyDescent="0.2">
      <c r="A34" s="6" t="s">
        <v>29</v>
      </c>
      <c r="B34" s="6">
        <f>COUNTIF(Backlog!$C$2:$C$75,A34)</f>
        <v>2</v>
      </c>
      <c r="C34" s="6">
        <f>SUMIFS(Backlog!$J$2:$J$75,Backlog!$C$2:$C$75,A34)</f>
        <v>16</v>
      </c>
      <c r="D34" s="6">
        <f>SUMIFS(Backlog!$J$2:$J$75,Backlog!$C$2:$C$75,A34,Backlog!$N$2:$N$75,"Done")</f>
        <v>0</v>
      </c>
      <c r="E34" s="8">
        <f t="shared" si="0"/>
        <v>0.8</v>
      </c>
    </row>
    <row r="35" spans="1:5" x14ac:dyDescent="0.2">
      <c r="A35" s="6" t="s">
        <v>30</v>
      </c>
      <c r="B35" s="6">
        <f>COUNTIF(Backlog!$C$2:$C$75,A35)</f>
        <v>1</v>
      </c>
      <c r="C35" s="6">
        <f>SUMIFS(Backlog!$J$2:$J$75,Backlog!$C$2:$C$75,A35)</f>
        <v>3</v>
      </c>
      <c r="D35" s="6">
        <f>SUMIFS(Backlog!$J$2:$J$75,Backlog!$C$2:$C$75,A35,Backlog!$N$2:$N$75,"Done")</f>
        <v>0</v>
      </c>
      <c r="E35" s="8">
        <f t="shared" si="0"/>
        <v>0.15</v>
      </c>
    </row>
    <row r="36" spans="1:5" x14ac:dyDescent="0.2">
      <c r="A36" s="6" t="s">
        <v>31</v>
      </c>
      <c r="B36" s="6">
        <f>COUNTIF(Backlog!$C$2:$C$75,A36)</f>
        <v>1</v>
      </c>
      <c r="C36" s="6">
        <f>SUMIFS(Backlog!$J$2:$J$75,Backlog!$C$2:$C$75,A36)</f>
        <v>3</v>
      </c>
      <c r="D36" s="6">
        <f>SUMIFS(Backlog!$J$2:$J$75,Backlog!$C$2:$C$75,A36,Backlog!$N$2:$N$75,"Done")</f>
        <v>0</v>
      </c>
      <c r="E36" s="8">
        <f t="shared" si="0"/>
        <v>0.15</v>
      </c>
    </row>
    <row r="37" spans="1:5" x14ac:dyDescent="0.2">
      <c r="A37" s="6" t="s">
        <v>32</v>
      </c>
      <c r="B37" s="6">
        <f>COUNTIF(Backlog!$C$2:$C$75,A37)</f>
        <v>3</v>
      </c>
      <c r="C37" s="6">
        <f>SUMIFS(Backlog!$J$2:$J$75,Backlog!$C$2:$C$75,A37)</f>
        <v>7</v>
      </c>
      <c r="D37" s="6">
        <f>SUMIFS(Backlog!$J$2:$J$75,Backlog!$C$2:$C$75,A37,Backlog!$N$2:$N$75,"Done")</f>
        <v>0</v>
      </c>
      <c r="E37" s="8">
        <f t="shared" si="0"/>
        <v>0.35</v>
      </c>
    </row>
    <row r="38" spans="1:5" x14ac:dyDescent="0.2">
      <c r="A38" s="6" t="s">
        <v>33</v>
      </c>
      <c r="B38" s="6">
        <f>COUNTIF(Backlog!$C$2:$C$75,A38)</f>
        <v>1</v>
      </c>
      <c r="C38" s="6">
        <f>SUMIFS(Backlog!$J$2:$J$75,Backlog!$C$2:$C$75,A38)</f>
        <v>3</v>
      </c>
      <c r="D38" s="6">
        <f>SUMIFS(Backlog!$J$2:$J$75,Backlog!$C$2:$C$75,A38,Backlog!$N$2:$N$75,"Done")</f>
        <v>0</v>
      </c>
      <c r="E38" s="8">
        <f t="shared" si="0"/>
        <v>0.15</v>
      </c>
    </row>
    <row r="39" spans="1:5" x14ac:dyDescent="0.2">
      <c r="A39" s="6" t="s">
        <v>34</v>
      </c>
      <c r="B39" s="6">
        <f>COUNTIF(Backlog!$C$2:$C$75,A39)</f>
        <v>6</v>
      </c>
      <c r="C39" s="6">
        <f>SUMIFS(Backlog!$J$2:$J$75,Backlog!$C$2:$C$75,A39)</f>
        <v>21</v>
      </c>
      <c r="D39" s="6">
        <f>SUMIFS(Backlog!$J$2:$J$75,Backlog!$C$2:$C$75,A39,Backlog!$N$2:$N$75,"Done")</f>
        <v>0</v>
      </c>
      <c r="E39" s="8">
        <f t="shared" si="0"/>
        <v>1.05</v>
      </c>
    </row>
    <row r="40" spans="1:5" x14ac:dyDescent="0.2">
      <c r="A40" s="6" t="s">
        <v>35</v>
      </c>
      <c r="B40" s="6">
        <f>COUNTIF(Backlog!$C$2:$C$75,A40)</f>
        <v>3</v>
      </c>
      <c r="C40" s="6">
        <f>SUMIFS(Backlog!$J$2:$J$75,Backlog!$C$2:$C$75,A40)</f>
        <v>7</v>
      </c>
      <c r="D40" s="6">
        <f>SUMIFS(Backlog!$J$2:$J$75,Backlog!$C$2:$C$75,A40,Backlog!$N$2:$N$75,"Done")</f>
        <v>0</v>
      </c>
      <c r="E40" s="8">
        <f t="shared" si="0"/>
        <v>0.35</v>
      </c>
    </row>
    <row r="41" spans="1:5" x14ac:dyDescent="0.2">
      <c r="A41" s="6" t="s">
        <v>36</v>
      </c>
      <c r="B41" s="6">
        <f>COUNTIF(Backlog!$C$2:$C$75,A41)</f>
        <v>2</v>
      </c>
      <c r="C41" s="6">
        <f>SUMIFS(Backlog!$J$2:$J$75,Backlog!$C$2:$C$75,A41)</f>
        <v>5</v>
      </c>
      <c r="D41" s="6">
        <f>SUMIFS(Backlog!$J$2:$J$75,Backlog!$C$2:$C$75,A41,Backlog!$N$2:$N$75,"Done")</f>
        <v>0</v>
      </c>
      <c r="E41" s="8">
        <f t="shared" si="0"/>
        <v>0.25</v>
      </c>
    </row>
    <row r="42" spans="1:5" x14ac:dyDescent="0.2">
      <c r="A42" s="6" t="s">
        <v>37</v>
      </c>
      <c r="B42" s="6">
        <f>COUNTIF(Backlog!$C$2:$C$75,A42)</f>
        <v>2</v>
      </c>
      <c r="C42" s="6">
        <f>SUMIFS(Backlog!$J$2:$J$75,Backlog!$C$2:$C$75,A42)</f>
        <v>6</v>
      </c>
      <c r="D42" s="6">
        <f>SUMIFS(Backlog!$J$2:$J$75,Backlog!$C$2:$C$75,A42,Backlog!$N$2:$N$75,"Done")</f>
        <v>0</v>
      </c>
      <c r="E42" s="8">
        <f t="shared" si="0"/>
        <v>0.3</v>
      </c>
    </row>
    <row r="43" spans="1:5" x14ac:dyDescent="0.2">
      <c r="A43" s="6" t="s">
        <v>38</v>
      </c>
      <c r="B43" s="6">
        <f>COUNTIF(Backlog!$C$2:$C$75,A43)</f>
        <v>1</v>
      </c>
      <c r="C43" s="6">
        <f>SUMIFS(Backlog!$J$2:$J$75,Backlog!$C$2:$C$75,A43)</f>
        <v>3</v>
      </c>
      <c r="D43" s="6">
        <f>SUMIFS(Backlog!$J$2:$J$75,Backlog!$C$2:$C$75,A43,Backlog!$N$2:$N$75,"Done")</f>
        <v>0</v>
      </c>
      <c r="E43" s="8">
        <f t="shared" si="0"/>
        <v>0.15</v>
      </c>
    </row>
    <row r="44" spans="1:5" x14ac:dyDescent="0.2">
      <c r="A44" s="6" t="s">
        <v>39</v>
      </c>
      <c r="B44" s="6">
        <f>COUNTIF(Backlog!$C$2:$C$75,A44)</f>
        <v>1</v>
      </c>
      <c r="C44" s="6">
        <f>SUMIFS(Backlog!$J$2:$J$75,Backlog!$C$2:$C$75,A44)</f>
        <v>3</v>
      </c>
      <c r="D44" s="6">
        <f>SUMIFS(Backlog!$J$2:$J$75,Backlog!$C$2:$C$75,A44,Backlog!$N$2:$N$75,"Done")</f>
        <v>0</v>
      </c>
      <c r="E44" s="8">
        <f t="shared" si="0"/>
        <v>0.15</v>
      </c>
    </row>
    <row r="45" spans="1:5" x14ac:dyDescent="0.2">
      <c r="A45" s="6" t="s">
        <v>40</v>
      </c>
      <c r="B45" s="6">
        <f>COUNTIF(Backlog!$C$2:$C$75,A45)</f>
        <v>5</v>
      </c>
      <c r="C45" s="6">
        <f>SUMIFS(Backlog!$J$2:$J$75,Backlog!$C$2:$C$75,A45)</f>
        <v>14</v>
      </c>
      <c r="D45" s="6">
        <f>SUMIFS(Backlog!$J$2:$J$75,Backlog!$C$2:$C$75,A45,Backlog!$N$2:$N$75,"Done")</f>
        <v>0</v>
      </c>
      <c r="E45" s="8">
        <f t="shared" si="0"/>
        <v>0.7</v>
      </c>
    </row>
    <row r="46" spans="1:5" x14ac:dyDescent="0.2">
      <c r="A46" s="6" t="s">
        <v>41</v>
      </c>
      <c r="B46" s="6">
        <f>COUNTIF(Backlog!$C$2:$C$75,A46)</f>
        <v>1</v>
      </c>
      <c r="C46" s="6">
        <f>SUMIFS(Backlog!$J$2:$J$75,Backlog!$C$2:$C$75,A46)</f>
        <v>3</v>
      </c>
      <c r="D46" s="6">
        <f>SUMIFS(Backlog!$J$2:$J$75,Backlog!$C$2:$C$75,A46,Backlog!$N$2:$N$75,"Done")</f>
        <v>0</v>
      </c>
      <c r="E46" s="8">
        <f t="shared" si="0"/>
        <v>0.15</v>
      </c>
    </row>
    <row r="47" spans="1:5" x14ac:dyDescent="0.2">
      <c r="A47" s="6" t="s">
        <v>42</v>
      </c>
      <c r="B47" s="6">
        <f>COUNTIF(Backlog!$C$2:$C$75,A47)</f>
        <v>4</v>
      </c>
      <c r="C47" s="6">
        <f>SUMIFS(Backlog!$J$2:$J$75,Backlog!$C$2:$C$75,A47)</f>
        <v>11</v>
      </c>
      <c r="D47" s="6">
        <f>SUMIFS(Backlog!$J$2:$J$75,Backlog!$C$2:$C$75,A47,Backlog!$N$2:$N$75,"Done")</f>
        <v>0</v>
      </c>
      <c r="E47" s="8">
        <f t="shared" si="0"/>
        <v>0.55000000000000004</v>
      </c>
    </row>
    <row r="48" spans="1:5" x14ac:dyDescent="0.2">
      <c r="A48" s="6" t="s">
        <v>43</v>
      </c>
      <c r="B48" s="6">
        <f>COUNTIF(Backlog!$C$2:$C$75,A48)</f>
        <v>2</v>
      </c>
      <c r="C48" s="6">
        <f>SUMIFS(Backlog!$J$2:$J$75,Backlog!$C$2:$C$75,A48)</f>
        <v>6</v>
      </c>
      <c r="D48" s="6">
        <f>SUMIFS(Backlog!$J$2:$J$75,Backlog!$C$2:$C$75,A48,Backlog!$N$2:$N$75,"Done")</f>
        <v>0</v>
      </c>
      <c r="E48" s="8">
        <f t="shared" si="0"/>
        <v>0.3</v>
      </c>
    </row>
    <row r="49" spans="1:5" x14ac:dyDescent="0.2">
      <c r="A49" s="6" t="s">
        <v>44</v>
      </c>
      <c r="B49" s="6">
        <f>COUNTIF(Backlog!$C$2:$C$75,A49)</f>
        <v>2</v>
      </c>
      <c r="C49" s="6">
        <f>SUMIFS(Backlog!$J$2:$J$75,Backlog!$C$2:$C$75,A49)</f>
        <v>4</v>
      </c>
      <c r="D49" s="6">
        <f>SUMIFS(Backlog!$J$2:$J$75,Backlog!$C$2:$C$75,A49,Backlog!$N$2:$N$75,"Done")</f>
        <v>0</v>
      </c>
      <c r="E49" s="8">
        <f t="shared" si="0"/>
        <v>0.2</v>
      </c>
    </row>
    <row r="50" spans="1:5" x14ac:dyDescent="0.2">
      <c r="A50" s="6" t="s">
        <v>45</v>
      </c>
      <c r="B50" s="6">
        <f>COUNTIF(Backlog!$C$2:$C$75,A50)</f>
        <v>1</v>
      </c>
      <c r="C50" s="6">
        <f>SUMIFS(Backlog!$J$2:$J$75,Backlog!$C$2:$C$75,A50)</f>
        <v>2</v>
      </c>
      <c r="D50" s="6">
        <f>SUMIFS(Backlog!$J$2:$J$75,Backlog!$C$2:$C$75,A50,Backlog!$N$2:$N$75,"Done")</f>
        <v>0</v>
      </c>
      <c r="E50" s="8">
        <f t="shared" si="0"/>
        <v>0.1</v>
      </c>
    </row>
    <row r="51" spans="1:5" x14ac:dyDescent="0.2">
      <c r="A51" s="6" t="s">
        <v>46</v>
      </c>
      <c r="B51" s="6">
        <f>COUNTIF(Backlog!$C$2:$C$75,A51)</f>
        <v>6</v>
      </c>
      <c r="C51" s="6">
        <f>SUMIFS(Backlog!$J$2:$J$75,Backlog!$C$2:$C$75,A51)</f>
        <v>19</v>
      </c>
      <c r="D51" s="6">
        <f>SUMIFS(Backlog!$J$2:$J$75,Backlog!$C$2:$C$75,A51,Backlog!$N$2:$N$75,"Done")</f>
        <v>0</v>
      </c>
      <c r="E51" s="8">
        <f t="shared" si="0"/>
        <v>0.95</v>
      </c>
    </row>
    <row r="52" spans="1:5" x14ac:dyDescent="0.2">
      <c r="A52" s="6" t="s">
        <v>47</v>
      </c>
      <c r="B52" s="6">
        <f>COUNTIF(Backlog!$C$2:$C$75,A52)</f>
        <v>2</v>
      </c>
      <c r="C52" s="6">
        <f>SUMIFS(Backlog!$J$2:$J$75,Backlog!$C$2:$C$75,A52)</f>
        <v>10</v>
      </c>
      <c r="D52" s="6">
        <f>SUMIFS(Backlog!$J$2:$J$75,Backlog!$C$2:$C$75,A52,Backlog!$N$2:$N$75,"Done")</f>
        <v>0</v>
      </c>
      <c r="E52" s="8">
        <f t="shared" si="0"/>
        <v>0.5</v>
      </c>
    </row>
    <row r="53" spans="1:5" x14ac:dyDescent="0.2">
      <c r="A53" s="6" t="s">
        <v>48</v>
      </c>
      <c r="B53" s="6">
        <f>COUNTIF(Backlog!$C$2:$C$75,A53)</f>
        <v>1</v>
      </c>
      <c r="C53" s="6">
        <f>SUMIFS(Backlog!$J$2:$J$75,Backlog!$C$2:$C$75,A53)</f>
        <v>3</v>
      </c>
      <c r="D53" s="6">
        <f>SUMIFS(Backlog!$J$2:$J$75,Backlog!$C$2:$C$75,A53,Backlog!$N$2:$N$75,"Done")</f>
        <v>0</v>
      </c>
      <c r="E53" s="8">
        <f t="shared" si="0"/>
        <v>0.15</v>
      </c>
    </row>
    <row r="54" spans="1:5" x14ac:dyDescent="0.2">
      <c r="A54" s="6" t="s">
        <v>49</v>
      </c>
      <c r="B54" s="6">
        <f>COUNTIF(Backlog!$C$2:$C$75,A54)</f>
        <v>1</v>
      </c>
      <c r="C54" s="6">
        <f>SUMIFS(Backlog!$J$2:$J$75,Backlog!$C$2:$C$75,A54)</f>
        <v>3</v>
      </c>
      <c r="D54" s="6">
        <f>SUMIFS(Backlog!$J$2:$J$75,Backlog!$C$2:$C$75,A54,Backlog!$N$2:$N$75,"Done")</f>
        <v>0</v>
      </c>
      <c r="E54" s="8">
        <f t="shared" si="0"/>
        <v>0.15</v>
      </c>
    </row>
    <row r="55" spans="1:5" x14ac:dyDescent="0.2">
      <c r="A55" s="6" t="s">
        <v>50</v>
      </c>
      <c r="B55" s="6">
        <f>COUNTIF(Backlog!$C$2:$C$75,A55)</f>
        <v>2</v>
      </c>
      <c r="C55" s="6">
        <f>SUMIFS(Backlog!$J$2:$J$75,Backlog!$C$2:$C$75,A55)</f>
        <v>4</v>
      </c>
      <c r="D55" s="6">
        <f>SUMIFS(Backlog!$J$2:$J$75,Backlog!$C$2:$C$75,A55,Backlog!$N$2:$N$75,"Done")</f>
        <v>0</v>
      </c>
      <c r="E55" s="8">
        <f t="shared" si="0"/>
        <v>0.2</v>
      </c>
    </row>
    <row r="56" spans="1:5" x14ac:dyDescent="0.2">
      <c r="A56" s="6" t="s">
        <v>51</v>
      </c>
      <c r="B56" s="6">
        <f>COUNTIF(Backlog!$C$2:$C$75,A56)</f>
        <v>6</v>
      </c>
      <c r="C56" s="6">
        <f>SUMIFS(Backlog!$J$2:$J$75,Backlog!$C$2:$C$75,A56)</f>
        <v>21</v>
      </c>
      <c r="D56" s="6">
        <f>SUMIFS(Backlog!$J$2:$J$75,Backlog!$C$2:$C$75,A56,Backlog!$N$2:$N$75,"Done")</f>
        <v>0</v>
      </c>
      <c r="E56" s="8">
        <f t="shared" si="0"/>
        <v>1.05</v>
      </c>
    </row>
    <row r="57" spans="1:5" x14ac:dyDescent="0.2">
      <c r="A57" s="6" t="s">
        <v>52</v>
      </c>
      <c r="B57" s="6">
        <f>COUNTIF(Backlog!$C$2:$C$75,A57)</f>
        <v>1</v>
      </c>
      <c r="C57" s="6">
        <f>SUMIFS(Backlog!$J$2:$J$75,Backlog!$C$2:$C$75,A57)</f>
        <v>3</v>
      </c>
      <c r="D57" s="6">
        <f>SUMIFS(Backlog!$J$2:$J$75,Backlog!$C$2:$C$75,A57,Backlog!$N$2:$N$75,"Done")</f>
        <v>0</v>
      </c>
      <c r="E57" s="8">
        <f t="shared" si="0"/>
        <v>0.15</v>
      </c>
    </row>
    <row r="58" spans="1:5" x14ac:dyDescent="0.2">
      <c r="A58" s="6" t="s">
        <v>53</v>
      </c>
      <c r="B58" s="6">
        <f>COUNTIF(Backlog!$C$2:$C$75,A58)</f>
        <v>7</v>
      </c>
      <c r="C58" s="6">
        <f>SUMIFS(Backlog!$J$2:$J$75,Backlog!$C$2:$C$75,A58)</f>
        <v>30</v>
      </c>
      <c r="D58" s="6">
        <f>SUMIFS(Backlog!$J$2:$J$75,Backlog!$C$2:$C$75,A58,Backlog!$N$2:$N$75,"Done")</f>
        <v>0</v>
      </c>
      <c r="E58" s="8">
        <f t="shared" si="0"/>
        <v>1.5</v>
      </c>
    </row>
    <row r="59" spans="1:5" x14ac:dyDescent="0.2">
      <c r="A59" s="6" t="s">
        <v>54</v>
      </c>
      <c r="B59" s="6">
        <f>COUNTIF(Backlog!$C$2:$C$75,A59)</f>
        <v>1</v>
      </c>
      <c r="C59" s="6">
        <f>SUMIFS(Backlog!$J$2:$J$75,Backlog!$C$2:$C$75,A59)</f>
        <v>2</v>
      </c>
      <c r="D59" s="6">
        <f>SUMIFS(Backlog!$J$2:$J$75,Backlog!$C$2:$C$75,A59,Backlog!$N$2:$N$75,"Done")</f>
        <v>0</v>
      </c>
      <c r="E59" s="8">
        <f t="shared" si="0"/>
        <v>0.1</v>
      </c>
    </row>
    <row r="60" spans="1:5" x14ac:dyDescent="0.2">
      <c r="A60" s="6" t="s">
        <v>55</v>
      </c>
      <c r="B60" s="6">
        <f>COUNTIF(Backlog!$C$2:$C$75,A60)</f>
        <v>4</v>
      </c>
      <c r="C60" s="6">
        <f>SUMIFS(Backlog!$J$2:$J$75,Backlog!$C$2:$C$75,A60)</f>
        <v>15</v>
      </c>
      <c r="D60" s="6">
        <f>SUMIFS(Backlog!$J$2:$J$75,Backlog!$C$2:$C$75,A60,Backlog!$N$2:$N$75,"Done")</f>
        <v>0</v>
      </c>
      <c r="E60" s="8">
        <f t="shared" si="0"/>
        <v>0.75</v>
      </c>
    </row>
    <row r="61" spans="1:5" x14ac:dyDescent="0.2">
      <c r="A61" s="6" t="s">
        <v>56</v>
      </c>
      <c r="B61" s="6">
        <f>COUNTIF(Backlog!$C$2:$C$75,A61)</f>
        <v>1</v>
      </c>
      <c r="C61" s="6">
        <f>SUMIFS(Backlog!$J$2:$J$75,Backlog!$C$2:$C$75,A61)</f>
        <v>3</v>
      </c>
      <c r="D61" s="6">
        <f>SUMIFS(Backlog!$J$2:$J$75,Backlog!$C$2:$C$75,A61,Backlog!$N$2:$N$75,"Done")</f>
        <v>0</v>
      </c>
      <c r="E61" s="8">
        <f t="shared" si="0"/>
        <v>0.15</v>
      </c>
    </row>
    <row r="62" spans="1:5" x14ac:dyDescent="0.2">
      <c r="A62" s="6" t="s">
        <v>57</v>
      </c>
      <c r="B62" s="6">
        <f>COUNTIF(Backlog!$C$2:$C$75,A62)</f>
        <v>1</v>
      </c>
      <c r="C62" s="6">
        <f>SUMIFS(Backlog!$J$2:$J$75,Backlog!$C$2:$C$75,A62)</f>
        <v>3</v>
      </c>
      <c r="D62" s="6">
        <f>SUMIFS(Backlog!$J$2:$J$75,Backlog!$C$2:$C$75,A62,Backlog!$N$2:$N$75,"Done")</f>
        <v>0</v>
      </c>
      <c r="E62" s="8">
        <f t="shared" si="0"/>
        <v>0.15</v>
      </c>
    </row>
    <row r="63" spans="1:5" x14ac:dyDescent="0.2">
      <c r="A63" s="4" t="s">
        <v>14</v>
      </c>
      <c r="B63" s="4">
        <f>SUM(B33:B62)</f>
        <v>74</v>
      </c>
      <c r="C63" s="4">
        <f>SUM(C33:C62)</f>
        <v>246</v>
      </c>
      <c r="D63" s="4">
        <f>SUM(D33:D62)</f>
        <v>0</v>
      </c>
      <c r="E63" s="9">
        <f>SUM(E33:E62)</f>
        <v>12.300000000000002</v>
      </c>
    </row>
    <row r="65" spans="1:5" ht="28" x14ac:dyDescent="0.2">
      <c r="A65" s="7" t="s">
        <v>58</v>
      </c>
      <c r="B65" s="7" t="s">
        <v>5</v>
      </c>
      <c r="C65" s="7" t="s">
        <v>6</v>
      </c>
      <c r="D65" s="7"/>
      <c r="E65" s="7" t="s">
        <v>8</v>
      </c>
    </row>
    <row r="66" spans="1:5" x14ac:dyDescent="0.2">
      <c r="A66" s="6" t="s">
        <v>59</v>
      </c>
      <c r="B66" s="6">
        <f>COUNTIF(Backlog!$L$2:$L$75,"P1 - Must")</f>
        <v>59</v>
      </c>
      <c r="C66" s="6">
        <f>SUMIFS(Backlog!$J$2:$J$75,Backlog!$L$2:$L$75,"P1 - Must")</f>
        <v>205</v>
      </c>
      <c r="D66" s="6"/>
      <c r="E66" s="8">
        <f>IF($B$4&gt;0,C66/$B$4,0)</f>
        <v>10.25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2" width="14" customWidth="1"/>
    <col min="3" max="3" width="70" customWidth="1"/>
    <col min="4" max="4" width="50" customWidth="1"/>
  </cols>
  <sheetData>
    <row r="1" spans="1:4" ht="18" x14ac:dyDescent="0.2">
      <c r="A1" s="2" t="s">
        <v>60</v>
      </c>
    </row>
    <row r="2" spans="1:4" x14ac:dyDescent="0.2">
      <c r="A2" s="3" t="s">
        <v>61</v>
      </c>
    </row>
    <row r="4" spans="1:4" x14ac:dyDescent="0.2">
      <c r="A4" s="7" t="s">
        <v>62</v>
      </c>
      <c r="B4" s="7" t="s">
        <v>63</v>
      </c>
      <c r="C4" s="7" t="s">
        <v>64</v>
      </c>
    </row>
    <row r="5" spans="1:4" x14ac:dyDescent="0.2">
      <c r="A5" s="4" t="s">
        <v>24</v>
      </c>
      <c r="B5" s="10">
        <v>2</v>
      </c>
      <c r="C5" s="6" t="s">
        <v>65</v>
      </c>
      <c r="D5" s="11" t="s">
        <v>66</v>
      </c>
    </row>
    <row r="6" spans="1:4" x14ac:dyDescent="0.2">
      <c r="A6" s="4" t="s">
        <v>25</v>
      </c>
      <c r="B6" s="10">
        <v>3</v>
      </c>
      <c r="C6" s="6" t="s">
        <v>67</v>
      </c>
    </row>
    <row r="7" spans="1:4" x14ac:dyDescent="0.2">
      <c r="A7" s="4" t="s">
        <v>26</v>
      </c>
      <c r="B7" s="10">
        <v>8</v>
      </c>
      <c r="C7" s="6" t="s">
        <v>68</v>
      </c>
    </row>
    <row r="9" spans="1:4" x14ac:dyDescent="0.2">
      <c r="A9" s="7" t="s">
        <v>69</v>
      </c>
      <c r="B9" s="7"/>
      <c r="C9" s="7" t="s">
        <v>70</v>
      </c>
    </row>
    <row r="10" spans="1:4" x14ac:dyDescent="0.2">
      <c r="A10" s="4" t="s">
        <v>20</v>
      </c>
      <c r="B10" s="6"/>
      <c r="C10" s="6" t="s">
        <v>71</v>
      </c>
    </row>
    <row r="11" spans="1:4" x14ac:dyDescent="0.2">
      <c r="A11" s="4" t="s">
        <v>21</v>
      </c>
      <c r="B11" s="6"/>
      <c r="C11" s="6" t="s">
        <v>72</v>
      </c>
    </row>
    <row r="12" spans="1:4" x14ac:dyDescent="0.2">
      <c r="A12" s="4" t="s">
        <v>22</v>
      </c>
      <c r="B12" s="6"/>
      <c r="C12" s="6" t="s">
        <v>73</v>
      </c>
    </row>
    <row r="14" spans="1:4" x14ac:dyDescent="0.2">
      <c r="A14" s="7" t="s">
        <v>74</v>
      </c>
      <c r="B14" s="7"/>
      <c r="C14" s="7" t="s">
        <v>64</v>
      </c>
    </row>
    <row r="15" spans="1:4" x14ac:dyDescent="0.2">
      <c r="A15" s="4" t="s">
        <v>16</v>
      </c>
      <c r="B15" s="6"/>
      <c r="C15" s="6" t="s">
        <v>75</v>
      </c>
    </row>
    <row r="16" spans="1:4" x14ac:dyDescent="0.2">
      <c r="A16" s="4" t="s">
        <v>17</v>
      </c>
      <c r="B16" s="6"/>
      <c r="C16" s="6" t="s">
        <v>76</v>
      </c>
    </row>
    <row r="17" spans="1:4" x14ac:dyDescent="0.2">
      <c r="A17" s="4" t="s">
        <v>18</v>
      </c>
      <c r="B17" s="6"/>
      <c r="C17" s="6" t="s">
        <v>77</v>
      </c>
    </row>
    <row r="19" spans="1:4" x14ac:dyDescent="0.2">
      <c r="A19" s="7" t="s">
        <v>78</v>
      </c>
      <c r="B19" s="7"/>
      <c r="C19" s="7" t="s">
        <v>64</v>
      </c>
    </row>
    <row r="20" spans="1:4" x14ac:dyDescent="0.2">
      <c r="A20" s="4" t="s">
        <v>79</v>
      </c>
      <c r="B20" s="6"/>
      <c r="C20" s="6"/>
    </row>
    <row r="21" spans="1:4" x14ac:dyDescent="0.2">
      <c r="A21" s="4" t="s">
        <v>80</v>
      </c>
      <c r="B21" s="6"/>
      <c r="C21" s="6"/>
    </row>
    <row r="22" spans="1:4" x14ac:dyDescent="0.2">
      <c r="A22" s="4" t="s">
        <v>81</v>
      </c>
      <c r="B22" s="6"/>
      <c r="C22" s="6"/>
    </row>
    <row r="23" spans="1:4" x14ac:dyDescent="0.2">
      <c r="A23" s="4" t="s">
        <v>82</v>
      </c>
      <c r="B23" s="6"/>
      <c r="C23" s="6"/>
    </row>
    <row r="25" spans="1:4" ht="45" customHeight="1" x14ac:dyDescent="0.2">
      <c r="A25" s="1" t="s">
        <v>83</v>
      </c>
      <c r="B25" s="1"/>
      <c r="C25" s="1"/>
      <c r="D25" s="1"/>
    </row>
  </sheetData>
  <mergeCells count="1"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6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7" customWidth="1"/>
    <col min="2" max="2" width="22" customWidth="1"/>
    <col min="3" max="3" width="18" customWidth="1"/>
    <col min="4" max="4" width="40" customWidth="1"/>
    <col min="5" max="5" width="55" customWidth="1"/>
    <col min="6" max="6" width="50" customWidth="1"/>
    <col min="7" max="7" width="14" customWidth="1"/>
    <col min="8" max="8" width="9" customWidth="1"/>
    <col min="9" max="9" width="7" customWidth="1"/>
    <col min="10" max="10" width="8" customWidth="1"/>
    <col min="11" max="11" width="10" customWidth="1"/>
    <col min="12" max="12" width="16" customWidth="1"/>
    <col min="13" max="13" width="14" customWidth="1"/>
    <col min="14" max="14" width="12" customWidth="1"/>
    <col min="15" max="15" width="18" customWidth="1"/>
  </cols>
  <sheetData>
    <row r="1" spans="1:15" ht="30" customHeight="1" x14ac:dyDescent="0.2">
      <c r="A1" s="7" t="s">
        <v>84</v>
      </c>
      <c r="B1" s="7" t="s">
        <v>85</v>
      </c>
      <c r="C1" s="7" t="s">
        <v>86</v>
      </c>
      <c r="D1" s="7" t="s">
        <v>87</v>
      </c>
      <c r="E1" s="7" t="s">
        <v>88</v>
      </c>
      <c r="F1" s="7" t="s">
        <v>89</v>
      </c>
      <c r="G1" s="7" t="s">
        <v>90</v>
      </c>
      <c r="H1" s="7" t="s">
        <v>91</v>
      </c>
      <c r="I1" s="7" t="s">
        <v>92</v>
      </c>
      <c r="J1" s="7" t="s">
        <v>63</v>
      </c>
      <c r="K1" s="7" t="s">
        <v>69</v>
      </c>
      <c r="L1" s="7" t="s">
        <v>74</v>
      </c>
      <c r="M1" s="7" t="s">
        <v>93</v>
      </c>
      <c r="N1" s="7" t="s">
        <v>78</v>
      </c>
      <c r="O1" s="7" t="s">
        <v>94</v>
      </c>
    </row>
    <row r="2" spans="1:15" ht="28" x14ac:dyDescent="0.2">
      <c r="A2" s="6" t="s">
        <v>95</v>
      </c>
      <c r="B2" s="6" t="s">
        <v>9</v>
      </c>
      <c r="C2" s="6" t="s">
        <v>31</v>
      </c>
      <c r="D2" s="6" t="s">
        <v>96</v>
      </c>
      <c r="E2" s="6" t="s">
        <v>97</v>
      </c>
      <c r="F2" s="6" t="s">
        <v>98</v>
      </c>
      <c r="G2" s="6" t="s">
        <v>99</v>
      </c>
      <c r="H2" s="6" t="s">
        <v>100</v>
      </c>
      <c r="I2" s="12" t="s">
        <v>25</v>
      </c>
      <c r="J2" s="13">
        <f>IFERROR(INDEX(Legend!$B$5:$B$7,MATCH(I2,Legend!$A$5:$A$7,0)),0)</f>
        <v>3</v>
      </c>
      <c r="K2" s="10" t="s">
        <v>21</v>
      </c>
      <c r="L2" s="10" t="s">
        <v>16</v>
      </c>
      <c r="M2" s="6"/>
      <c r="N2" s="10" t="s">
        <v>79</v>
      </c>
      <c r="O2" s="10"/>
    </row>
    <row r="3" spans="1:15" ht="28" x14ac:dyDescent="0.2">
      <c r="A3" s="6" t="s">
        <v>101</v>
      </c>
      <c r="B3" s="6" t="s">
        <v>9</v>
      </c>
      <c r="C3" s="6" t="s">
        <v>47</v>
      </c>
      <c r="D3" s="6" t="s">
        <v>102</v>
      </c>
      <c r="E3" s="6" t="s">
        <v>103</v>
      </c>
      <c r="F3" s="6" t="s">
        <v>104</v>
      </c>
      <c r="G3" s="6" t="s">
        <v>99</v>
      </c>
      <c r="H3" s="6" t="s">
        <v>105</v>
      </c>
      <c r="I3" s="12" t="s">
        <v>24</v>
      </c>
      <c r="J3" s="13">
        <f>IFERROR(INDEX(Legend!$B$5:$B$7,MATCH(I3,Legend!$A$5:$A$7,0)),0)</f>
        <v>2</v>
      </c>
      <c r="K3" s="10" t="s">
        <v>22</v>
      </c>
      <c r="L3" s="10" t="s">
        <v>16</v>
      </c>
      <c r="M3" s="6" t="s">
        <v>95</v>
      </c>
      <c r="N3" s="10" t="s">
        <v>79</v>
      </c>
      <c r="O3" s="10"/>
    </row>
    <row r="4" spans="1:15" ht="42" x14ac:dyDescent="0.2">
      <c r="A4" s="6" t="s">
        <v>106</v>
      </c>
      <c r="B4" s="6" t="s">
        <v>9</v>
      </c>
      <c r="C4" s="6" t="s">
        <v>35</v>
      </c>
      <c r="D4" s="6" t="s">
        <v>107</v>
      </c>
      <c r="E4" s="6" t="s">
        <v>108</v>
      </c>
      <c r="F4" s="6" t="s">
        <v>109</v>
      </c>
      <c r="G4" s="6" t="s">
        <v>99</v>
      </c>
      <c r="H4" s="6" t="s">
        <v>110</v>
      </c>
      <c r="I4" s="12" t="s">
        <v>25</v>
      </c>
      <c r="J4" s="13">
        <f>IFERROR(INDEX(Legend!$B$5:$B$7,MATCH(I4,Legend!$A$5:$A$7,0)),0)</f>
        <v>3</v>
      </c>
      <c r="K4" s="10" t="s">
        <v>21</v>
      </c>
      <c r="L4" s="10" t="s">
        <v>16</v>
      </c>
      <c r="M4" s="6" t="s">
        <v>95</v>
      </c>
      <c r="N4" s="10" t="s">
        <v>79</v>
      </c>
      <c r="O4" s="10"/>
    </row>
    <row r="5" spans="1:15" ht="28" x14ac:dyDescent="0.2">
      <c r="A5" s="6" t="s">
        <v>111</v>
      </c>
      <c r="B5" s="6" t="s">
        <v>9</v>
      </c>
      <c r="C5" s="6" t="s">
        <v>36</v>
      </c>
      <c r="D5" s="6" t="s">
        <v>112</v>
      </c>
      <c r="E5" s="6" t="s">
        <v>113</v>
      </c>
      <c r="F5" s="6" t="s">
        <v>114</v>
      </c>
      <c r="G5" s="6" t="s">
        <v>99</v>
      </c>
      <c r="H5" s="6" t="s">
        <v>110</v>
      </c>
      <c r="I5" s="12" t="s">
        <v>25</v>
      </c>
      <c r="J5" s="13">
        <f>IFERROR(INDEX(Legend!$B$5:$B$7,MATCH(I5,Legend!$A$5:$A$7,0)),0)</f>
        <v>3</v>
      </c>
      <c r="K5" s="10" t="s">
        <v>21</v>
      </c>
      <c r="L5" s="10" t="s">
        <v>16</v>
      </c>
      <c r="M5" s="6" t="s">
        <v>106</v>
      </c>
      <c r="N5" s="10" t="s">
        <v>79</v>
      </c>
      <c r="O5" s="10"/>
    </row>
    <row r="6" spans="1:15" ht="28" x14ac:dyDescent="0.2">
      <c r="A6" s="6" t="s">
        <v>115</v>
      </c>
      <c r="B6" s="6" t="s">
        <v>9</v>
      </c>
      <c r="C6" s="6" t="s">
        <v>40</v>
      </c>
      <c r="D6" s="6" t="s">
        <v>116</v>
      </c>
      <c r="E6" s="6" t="s">
        <v>117</v>
      </c>
      <c r="F6" s="6" t="s">
        <v>118</v>
      </c>
      <c r="G6" s="6" t="s">
        <v>99</v>
      </c>
      <c r="H6" s="6" t="s">
        <v>110</v>
      </c>
      <c r="I6" s="12" t="s">
        <v>24</v>
      </c>
      <c r="J6" s="13">
        <f>IFERROR(INDEX(Legend!$B$5:$B$7,MATCH(I6,Legend!$A$5:$A$7,0)),0)</f>
        <v>2</v>
      </c>
      <c r="K6" s="10" t="s">
        <v>22</v>
      </c>
      <c r="L6" s="10" t="s">
        <v>16</v>
      </c>
      <c r="M6" s="6" t="s">
        <v>106</v>
      </c>
      <c r="N6" s="10" t="s">
        <v>79</v>
      </c>
      <c r="O6" s="10"/>
    </row>
    <row r="7" spans="1:15" ht="28" x14ac:dyDescent="0.2">
      <c r="A7" s="6" t="s">
        <v>119</v>
      </c>
      <c r="B7" s="6" t="s">
        <v>9</v>
      </c>
      <c r="C7" s="6" t="s">
        <v>39</v>
      </c>
      <c r="D7" s="6" t="s">
        <v>120</v>
      </c>
      <c r="E7" s="6" t="s">
        <v>121</v>
      </c>
      <c r="F7" s="6" t="s">
        <v>122</v>
      </c>
      <c r="G7" s="6" t="s">
        <v>99</v>
      </c>
      <c r="H7" s="6" t="s">
        <v>123</v>
      </c>
      <c r="I7" s="12" t="s">
        <v>25</v>
      </c>
      <c r="J7" s="13">
        <f>IFERROR(INDEX(Legend!$B$5:$B$7,MATCH(I7,Legend!$A$5:$A$7,0)),0)</f>
        <v>3</v>
      </c>
      <c r="K7" s="10" t="s">
        <v>21</v>
      </c>
      <c r="L7" s="10" t="s">
        <v>16</v>
      </c>
      <c r="M7" s="6" t="s">
        <v>115</v>
      </c>
      <c r="N7" s="10" t="s">
        <v>79</v>
      </c>
      <c r="O7" s="10"/>
    </row>
    <row r="8" spans="1:15" ht="28" x14ac:dyDescent="0.2">
      <c r="A8" s="6" t="s">
        <v>124</v>
      </c>
      <c r="B8" s="6" t="s">
        <v>9</v>
      </c>
      <c r="C8" s="6" t="s">
        <v>36</v>
      </c>
      <c r="D8" s="6" t="s">
        <v>125</v>
      </c>
      <c r="E8" s="6" t="s">
        <v>126</v>
      </c>
      <c r="F8" s="6" t="s">
        <v>127</v>
      </c>
      <c r="G8" s="6" t="s">
        <v>99</v>
      </c>
      <c r="H8" s="6" t="s">
        <v>110</v>
      </c>
      <c r="I8" s="12" t="s">
        <v>24</v>
      </c>
      <c r="J8" s="13">
        <f>IFERROR(INDEX(Legend!$B$5:$B$7,MATCH(I8,Legend!$A$5:$A$7,0)),0)</f>
        <v>2</v>
      </c>
      <c r="K8" s="10" t="s">
        <v>22</v>
      </c>
      <c r="L8" s="10" t="s">
        <v>16</v>
      </c>
      <c r="M8" s="6" t="s">
        <v>128</v>
      </c>
      <c r="N8" s="10" t="s">
        <v>79</v>
      </c>
      <c r="O8" s="10"/>
    </row>
    <row r="9" spans="1:15" ht="28" x14ac:dyDescent="0.2">
      <c r="A9" s="6" t="s">
        <v>129</v>
      </c>
      <c r="B9" s="6" t="s">
        <v>9</v>
      </c>
      <c r="C9" s="6" t="s">
        <v>47</v>
      </c>
      <c r="D9" s="6" t="s">
        <v>130</v>
      </c>
      <c r="E9" s="6" t="s">
        <v>131</v>
      </c>
      <c r="F9" s="6" t="s">
        <v>132</v>
      </c>
      <c r="G9" s="6" t="s">
        <v>99</v>
      </c>
      <c r="H9" s="6" t="s">
        <v>133</v>
      </c>
      <c r="I9" s="12" t="s">
        <v>26</v>
      </c>
      <c r="J9" s="13">
        <f>IFERROR(INDEX(Legend!$B$5:$B$7,MATCH(I9,Legend!$A$5:$A$7,0)),0)</f>
        <v>8</v>
      </c>
      <c r="K9" s="10" t="s">
        <v>20</v>
      </c>
      <c r="L9" s="10" t="s">
        <v>16</v>
      </c>
      <c r="M9" s="6" t="s">
        <v>134</v>
      </c>
      <c r="N9" s="10" t="s">
        <v>79</v>
      </c>
      <c r="O9" s="10"/>
    </row>
    <row r="10" spans="1:15" ht="42" x14ac:dyDescent="0.2">
      <c r="A10" s="6" t="s">
        <v>135</v>
      </c>
      <c r="B10" s="6" t="s">
        <v>9</v>
      </c>
      <c r="C10" s="6" t="s">
        <v>34</v>
      </c>
      <c r="D10" s="6" t="s">
        <v>136</v>
      </c>
      <c r="E10" s="6" t="s">
        <v>137</v>
      </c>
      <c r="F10" s="6" t="s">
        <v>138</v>
      </c>
      <c r="G10" s="6" t="s">
        <v>99</v>
      </c>
      <c r="H10" s="6" t="s">
        <v>139</v>
      </c>
      <c r="I10" s="12" t="s">
        <v>26</v>
      </c>
      <c r="J10" s="13">
        <f>IFERROR(INDEX(Legend!$B$5:$B$7,MATCH(I10,Legend!$A$5:$A$7,0)),0)</f>
        <v>8</v>
      </c>
      <c r="K10" s="10" t="s">
        <v>20</v>
      </c>
      <c r="L10" s="10" t="s">
        <v>16</v>
      </c>
      <c r="M10" s="6" t="s">
        <v>95</v>
      </c>
      <c r="N10" s="10" t="s">
        <v>79</v>
      </c>
      <c r="O10" s="10"/>
    </row>
    <row r="11" spans="1:15" ht="28" x14ac:dyDescent="0.2">
      <c r="A11" s="6" t="s">
        <v>140</v>
      </c>
      <c r="B11" s="6" t="s">
        <v>9</v>
      </c>
      <c r="C11" s="6" t="s">
        <v>34</v>
      </c>
      <c r="D11" s="6" t="s">
        <v>141</v>
      </c>
      <c r="E11" s="6" t="s">
        <v>142</v>
      </c>
      <c r="F11" s="6" t="s">
        <v>143</v>
      </c>
      <c r="G11" s="6" t="s">
        <v>99</v>
      </c>
      <c r="H11" s="6" t="s">
        <v>139</v>
      </c>
      <c r="I11" s="12" t="s">
        <v>25</v>
      </c>
      <c r="J11" s="13">
        <f>IFERROR(INDEX(Legend!$B$5:$B$7,MATCH(I11,Legend!$A$5:$A$7,0)),0)</f>
        <v>3</v>
      </c>
      <c r="K11" s="10" t="s">
        <v>21</v>
      </c>
      <c r="L11" s="10" t="s">
        <v>16</v>
      </c>
      <c r="M11" s="6" t="s">
        <v>135</v>
      </c>
      <c r="N11" s="10" t="s">
        <v>79</v>
      </c>
      <c r="O11" s="10"/>
    </row>
    <row r="12" spans="1:15" ht="28" x14ac:dyDescent="0.2">
      <c r="A12" s="6" t="s">
        <v>144</v>
      </c>
      <c r="B12" s="6" t="s">
        <v>9</v>
      </c>
      <c r="C12" s="6" t="s">
        <v>37</v>
      </c>
      <c r="D12" s="6" t="s">
        <v>145</v>
      </c>
      <c r="E12" s="6" t="s">
        <v>146</v>
      </c>
      <c r="F12" s="6" t="s">
        <v>147</v>
      </c>
      <c r="G12" s="6" t="s">
        <v>99</v>
      </c>
      <c r="H12" s="6" t="s">
        <v>148</v>
      </c>
      <c r="I12" s="12" t="s">
        <v>25</v>
      </c>
      <c r="J12" s="13">
        <f>IFERROR(INDEX(Legend!$B$5:$B$7,MATCH(I12,Legend!$A$5:$A$7,0)),0)</f>
        <v>3</v>
      </c>
      <c r="K12" s="10" t="s">
        <v>21</v>
      </c>
      <c r="L12" s="10" t="s">
        <v>16</v>
      </c>
      <c r="M12" s="6" t="s">
        <v>106</v>
      </c>
      <c r="N12" s="10" t="s">
        <v>79</v>
      </c>
      <c r="O12" s="10"/>
    </row>
    <row r="13" spans="1:15" ht="28" x14ac:dyDescent="0.2">
      <c r="A13" s="6" t="s">
        <v>149</v>
      </c>
      <c r="B13" s="6" t="s">
        <v>9</v>
      </c>
      <c r="C13" s="6" t="s">
        <v>43</v>
      </c>
      <c r="D13" s="6" t="s">
        <v>150</v>
      </c>
      <c r="E13" s="6" t="s">
        <v>151</v>
      </c>
      <c r="F13" s="6" t="s">
        <v>152</v>
      </c>
      <c r="G13" s="6" t="s">
        <v>99</v>
      </c>
      <c r="H13" s="6" t="s">
        <v>148</v>
      </c>
      <c r="I13" s="12" t="s">
        <v>25</v>
      </c>
      <c r="J13" s="13">
        <f>IFERROR(INDEX(Legend!$B$5:$B$7,MATCH(I13,Legend!$A$5:$A$7,0)),0)</f>
        <v>3</v>
      </c>
      <c r="K13" s="10" t="s">
        <v>21</v>
      </c>
      <c r="L13" s="10" t="s">
        <v>16</v>
      </c>
      <c r="M13" s="6" t="s">
        <v>106</v>
      </c>
      <c r="N13" s="10" t="s">
        <v>79</v>
      </c>
      <c r="O13" s="10"/>
    </row>
    <row r="14" spans="1:15" ht="28" x14ac:dyDescent="0.2">
      <c r="A14" s="6" t="s">
        <v>153</v>
      </c>
      <c r="B14" s="6" t="s">
        <v>9</v>
      </c>
      <c r="C14" s="6" t="s">
        <v>28</v>
      </c>
      <c r="D14" s="6" t="s">
        <v>154</v>
      </c>
      <c r="E14" s="6" t="s">
        <v>155</v>
      </c>
      <c r="F14" s="6" t="s">
        <v>156</v>
      </c>
      <c r="G14" s="6" t="s">
        <v>99</v>
      </c>
      <c r="H14" s="6" t="s">
        <v>157</v>
      </c>
      <c r="I14" s="12" t="s">
        <v>25</v>
      </c>
      <c r="J14" s="13">
        <f>IFERROR(INDEX(Legend!$B$5:$B$7,MATCH(I14,Legend!$A$5:$A$7,0)),0)</f>
        <v>3</v>
      </c>
      <c r="K14" s="10" t="s">
        <v>21</v>
      </c>
      <c r="L14" s="10" t="s">
        <v>16</v>
      </c>
      <c r="M14" s="6" t="s">
        <v>158</v>
      </c>
      <c r="N14" s="10" t="s">
        <v>79</v>
      </c>
      <c r="O14" s="10"/>
    </row>
    <row r="15" spans="1:15" ht="28" x14ac:dyDescent="0.2">
      <c r="A15" s="6" t="s">
        <v>159</v>
      </c>
      <c r="B15" s="6" t="s">
        <v>9</v>
      </c>
      <c r="C15" s="6" t="s">
        <v>46</v>
      </c>
      <c r="D15" s="6" t="s">
        <v>160</v>
      </c>
      <c r="E15" s="6" t="s">
        <v>161</v>
      </c>
      <c r="F15" s="6" t="s">
        <v>162</v>
      </c>
      <c r="G15" s="6" t="s">
        <v>99</v>
      </c>
      <c r="H15" s="6" t="s">
        <v>163</v>
      </c>
      <c r="I15" s="12" t="s">
        <v>24</v>
      </c>
      <c r="J15" s="13">
        <f>IFERROR(INDEX(Legend!$B$5:$B$7,MATCH(I15,Legend!$A$5:$A$7,0)),0)</f>
        <v>2</v>
      </c>
      <c r="K15" s="10" t="s">
        <v>22</v>
      </c>
      <c r="L15" s="10" t="s">
        <v>16</v>
      </c>
      <c r="M15" s="6" t="s">
        <v>106</v>
      </c>
      <c r="N15" s="10" t="s">
        <v>79</v>
      </c>
      <c r="O15" s="10"/>
    </row>
    <row r="16" spans="1:15" ht="56" x14ac:dyDescent="0.2">
      <c r="A16" s="6" t="s">
        <v>164</v>
      </c>
      <c r="B16" s="6" t="s">
        <v>9</v>
      </c>
      <c r="C16" s="6" t="s">
        <v>46</v>
      </c>
      <c r="D16" s="6" t="s">
        <v>165</v>
      </c>
      <c r="E16" s="6" t="s">
        <v>166</v>
      </c>
      <c r="F16" s="6" t="s">
        <v>167</v>
      </c>
      <c r="G16" s="6" t="s">
        <v>99</v>
      </c>
      <c r="H16" s="6" t="s">
        <v>168</v>
      </c>
      <c r="I16" s="12" t="s">
        <v>26</v>
      </c>
      <c r="J16" s="13">
        <f>IFERROR(INDEX(Legend!$B$5:$B$7,MATCH(I16,Legend!$A$5:$A$7,0)),0)</f>
        <v>8</v>
      </c>
      <c r="K16" s="10" t="s">
        <v>20</v>
      </c>
      <c r="L16" s="10" t="s">
        <v>16</v>
      </c>
      <c r="M16" s="6" t="s">
        <v>169</v>
      </c>
      <c r="N16" s="10" t="s">
        <v>79</v>
      </c>
      <c r="O16" s="10"/>
    </row>
    <row r="17" spans="1:15" ht="28" x14ac:dyDescent="0.2">
      <c r="A17" s="6" t="s">
        <v>170</v>
      </c>
      <c r="B17" s="6" t="s">
        <v>9</v>
      </c>
      <c r="C17" s="6" t="s">
        <v>46</v>
      </c>
      <c r="D17" s="6" t="s">
        <v>171</v>
      </c>
      <c r="E17" s="6" t="s">
        <v>172</v>
      </c>
      <c r="F17" s="6" t="s">
        <v>173</v>
      </c>
      <c r="G17" s="6" t="s">
        <v>99</v>
      </c>
      <c r="H17" s="6" t="s">
        <v>163</v>
      </c>
      <c r="I17" s="12" t="s">
        <v>24</v>
      </c>
      <c r="J17" s="13">
        <f>IFERROR(INDEX(Legend!$B$5:$B$7,MATCH(I17,Legend!$A$5:$A$7,0)),0)</f>
        <v>2</v>
      </c>
      <c r="K17" s="10" t="s">
        <v>21</v>
      </c>
      <c r="L17" s="10" t="s">
        <v>16</v>
      </c>
      <c r="M17" s="6" t="s">
        <v>111</v>
      </c>
      <c r="N17" s="10" t="s">
        <v>79</v>
      </c>
      <c r="O17" s="10"/>
    </row>
    <row r="18" spans="1:15" ht="28" x14ac:dyDescent="0.2">
      <c r="A18" s="6" t="s">
        <v>174</v>
      </c>
      <c r="B18" s="6" t="s">
        <v>9</v>
      </c>
      <c r="C18" s="6" t="s">
        <v>29</v>
      </c>
      <c r="D18" s="6" t="s">
        <v>175</v>
      </c>
      <c r="E18" s="6" t="s">
        <v>176</v>
      </c>
      <c r="F18" s="6" t="s">
        <v>177</v>
      </c>
      <c r="G18" s="6" t="s">
        <v>99</v>
      </c>
      <c r="H18" s="6" t="s">
        <v>163</v>
      </c>
      <c r="I18" s="12" t="s">
        <v>26</v>
      </c>
      <c r="J18" s="13">
        <f>IFERROR(INDEX(Legend!$B$5:$B$7,MATCH(I18,Legend!$A$5:$A$7,0)),0)</f>
        <v>8</v>
      </c>
      <c r="K18" s="10" t="s">
        <v>20</v>
      </c>
      <c r="L18" s="10" t="s">
        <v>16</v>
      </c>
      <c r="M18" s="6" t="s">
        <v>164</v>
      </c>
      <c r="N18" s="10" t="s">
        <v>79</v>
      </c>
      <c r="O18" s="10"/>
    </row>
    <row r="19" spans="1:15" ht="28" x14ac:dyDescent="0.2">
      <c r="A19" s="6" t="s">
        <v>178</v>
      </c>
      <c r="B19" s="6" t="s">
        <v>9</v>
      </c>
      <c r="C19" s="6" t="s">
        <v>50</v>
      </c>
      <c r="D19" s="6" t="s">
        <v>179</v>
      </c>
      <c r="E19" s="6" t="s">
        <v>180</v>
      </c>
      <c r="F19" s="6" t="s">
        <v>181</v>
      </c>
      <c r="G19" s="6" t="s">
        <v>99</v>
      </c>
      <c r="H19" s="6" t="s">
        <v>182</v>
      </c>
      <c r="I19" s="12" t="s">
        <v>24</v>
      </c>
      <c r="J19" s="13">
        <f>IFERROR(INDEX(Legend!$B$5:$B$7,MATCH(I19,Legend!$A$5:$A$7,0)),0)</f>
        <v>2</v>
      </c>
      <c r="K19" s="10" t="s">
        <v>22</v>
      </c>
      <c r="L19" s="10" t="s">
        <v>16</v>
      </c>
      <c r="M19" s="6" t="s">
        <v>106</v>
      </c>
      <c r="N19" s="10" t="s">
        <v>79</v>
      </c>
      <c r="O19" s="10"/>
    </row>
    <row r="20" spans="1:15" ht="28" x14ac:dyDescent="0.2">
      <c r="A20" s="6" t="s">
        <v>183</v>
      </c>
      <c r="B20" s="6" t="s">
        <v>9</v>
      </c>
      <c r="C20" s="6" t="s">
        <v>34</v>
      </c>
      <c r="D20" s="6" t="s">
        <v>184</v>
      </c>
      <c r="E20" s="6" t="s">
        <v>185</v>
      </c>
      <c r="F20" s="6" t="s">
        <v>186</v>
      </c>
      <c r="G20" s="6" t="s">
        <v>99</v>
      </c>
      <c r="H20" s="6" t="s">
        <v>163</v>
      </c>
      <c r="I20" s="12" t="s">
        <v>24</v>
      </c>
      <c r="J20" s="13">
        <f>IFERROR(INDEX(Legend!$B$5:$B$7,MATCH(I20,Legend!$A$5:$A$7,0)),0)</f>
        <v>2</v>
      </c>
      <c r="K20" s="10" t="s">
        <v>22</v>
      </c>
      <c r="L20" s="10" t="s">
        <v>17</v>
      </c>
      <c r="M20" s="6" t="s">
        <v>106</v>
      </c>
      <c r="N20" s="10" t="s">
        <v>79</v>
      </c>
      <c r="O20" s="10"/>
    </row>
    <row r="21" spans="1:15" ht="28" x14ac:dyDescent="0.2">
      <c r="A21" s="6" t="s">
        <v>187</v>
      </c>
      <c r="B21" s="6" t="s">
        <v>9</v>
      </c>
      <c r="C21" s="6" t="s">
        <v>40</v>
      </c>
      <c r="D21" s="6" t="s">
        <v>188</v>
      </c>
      <c r="E21" s="6" t="s">
        <v>189</v>
      </c>
      <c r="F21" s="6" t="s">
        <v>190</v>
      </c>
      <c r="G21" s="6" t="s">
        <v>99</v>
      </c>
      <c r="H21" s="6" t="s">
        <v>191</v>
      </c>
      <c r="I21" s="12" t="s">
        <v>25</v>
      </c>
      <c r="J21" s="13">
        <f>IFERROR(INDEX(Legend!$B$5:$B$7,MATCH(I21,Legend!$A$5:$A$7,0)),0)</f>
        <v>3</v>
      </c>
      <c r="K21" s="10" t="s">
        <v>21</v>
      </c>
      <c r="L21" s="10" t="s">
        <v>16</v>
      </c>
      <c r="M21" s="6" t="s">
        <v>106</v>
      </c>
      <c r="N21" s="10" t="s">
        <v>79</v>
      </c>
      <c r="O21" s="10"/>
    </row>
    <row r="22" spans="1:15" ht="28" x14ac:dyDescent="0.2">
      <c r="A22" s="6" t="s">
        <v>192</v>
      </c>
      <c r="B22" s="6" t="s">
        <v>9</v>
      </c>
      <c r="C22" s="6" t="s">
        <v>55</v>
      </c>
      <c r="D22" s="6" t="s">
        <v>193</v>
      </c>
      <c r="E22" s="6" t="s">
        <v>194</v>
      </c>
      <c r="F22" s="6" t="s">
        <v>195</v>
      </c>
      <c r="G22" s="6" t="s">
        <v>196</v>
      </c>
      <c r="H22" s="6" t="s">
        <v>197</v>
      </c>
      <c r="I22" s="12" t="s">
        <v>26</v>
      </c>
      <c r="J22" s="13">
        <f>IFERROR(INDEX(Legend!$B$5:$B$7,MATCH(I22,Legend!$A$5:$A$7,0)),0)</f>
        <v>8</v>
      </c>
      <c r="K22" s="10" t="s">
        <v>20</v>
      </c>
      <c r="L22" s="10" t="s">
        <v>16</v>
      </c>
      <c r="M22" s="6" t="s">
        <v>187</v>
      </c>
      <c r="N22" s="10" t="s">
        <v>79</v>
      </c>
      <c r="O22" s="10"/>
    </row>
    <row r="23" spans="1:15" ht="28" x14ac:dyDescent="0.2">
      <c r="A23" s="6" t="s">
        <v>198</v>
      </c>
      <c r="B23" s="6" t="s">
        <v>9</v>
      </c>
      <c r="C23" s="6" t="s">
        <v>55</v>
      </c>
      <c r="D23" s="6" t="s">
        <v>199</v>
      </c>
      <c r="E23" s="6" t="s">
        <v>200</v>
      </c>
      <c r="F23" s="6" t="s">
        <v>201</v>
      </c>
      <c r="G23" s="6" t="s">
        <v>99</v>
      </c>
      <c r="H23" s="6" t="s">
        <v>202</v>
      </c>
      <c r="I23" s="12" t="s">
        <v>24</v>
      </c>
      <c r="J23" s="13">
        <f>IFERROR(INDEX(Legend!$B$5:$B$7,MATCH(I23,Legend!$A$5:$A$7,0)),0)</f>
        <v>2</v>
      </c>
      <c r="K23" s="10" t="s">
        <v>21</v>
      </c>
      <c r="L23" s="10" t="s">
        <v>16</v>
      </c>
      <c r="M23" s="6" t="s">
        <v>192</v>
      </c>
      <c r="N23" s="10" t="s">
        <v>79</v>
      </c>
      <c r="O23" s="10"/>
    </row>
    <row r="24" spans="1:15" ht="28" x14ac:dyDescent="0.2">
      <c r="A24" s="6" t="s">
        <v>203</v>
      </c>
      <c r="B24" s="6" t="s">
        <v>9</v>
      </c>
      <c r="C24" s="6" t="s">
        <v>42</v>
      </c>
      <c r="D24" s="6" t="s">
        <v>204</v>
      </c>
      <c r="E24" s="6" t="s">
        <v>205</v>
      </c>
      <c r="F24" s="6" t="s">
        <v>206</v>
      </c>
      <c r="G24" s="6" t="s">
        <v>42</v>
      </c>
      <c r="H24" s="6" t="s">
        <v>197</v>
      </c>
      <c r="I24" s="12" t="s">
        <v>24</v>
      </c>
      <c r="J24" s="13">
        <f>IFERROR(INDEX(Legend!$B$5:$B$7,MATCH(I24,Legend!$A$5:$A$7,0)),0)</f>
        <v>2</v>
      </c>
      <c r="K24" s="10" t="s">
        <v>22</v>
      </c>
      <c r="L24" s="10" t="s">
        <v>17</v>
      </c>
      <c r="M24" s="6"/>
      <c r="N24" s="10" t="s">
        <v>79</v>
      </c>
      <c r="O24" s="10"/>
    </row>
    <row r="25" spans="1:15" ht="28" x14ac:dyDescent="0.2">
      <c r="A25" s="6" t="s">
        <v>207</v>
      </c>
      <c r="B25" s="6" t="s">
        <v>9</v>
      </c>
      <c r="C25" s="6" t="s">
        <v>44</v>
      </c>
      <c r="D25" s="6" t="s">
        <v>208</v>
      </c>
      <c r="E25" s="6" t="s">
        <v>209</v>
      </c>
      <c r="F25" s="6" t="s">
        <v>210</v>
      </c>
      <c r="G25" s="6" t="s">
        <v>99</v>
      </c>
      <c r="H25" s="6" t="s">
        <v>211</v>
      </c>
      <c r="I25" s="12" t="s">
        <v>24</v>
      </c>
      <c r="J25" s="13">
        <f>IFERROR(INDEX(Legend!$B$5:$B$7,MATCH(I25,Legend!$A$5:$A$7,0)),0)</f>
        <v>2</v>
      </c>
      <c r="K25" s="10" t="s">
        <v>22</v>
      </c>
      <c r="L25" s="10" t="s">
        <v>17</v>
      </c>
      <c r="M25" s="6" t="s">
        <v>212</v>
      </c>
      <c r="N25" s="10" t="s">
        <v>79</v>
      </c>
      <c r="O25" s="10"/>
    </row>
    <row r="26" spans="1:15" ht="28" x14ac:dyDescent="0.2">
      <c r="A26" s="6" t="s">
        <v>213</v>
      </c>
      <c r="B26" s="6" t="s">
        <v>9</v>
      </c>
      <c r="C26" s="6" t="s">
        <v>53</v>
      </c>
      <c r="D26" s="6" t="s">
        <v>214</v>
      </c>
      <c r="E26" s="6" t="s">
        <v>215</v>
      </c>
      <c r="F26" s="6" t="s">
        <v>216</v>
      </c>
      <c r="G26" s="6" t="s">
        <v>99</v>
      </c>
      <c r="H26" s="6" t="s">
        <v>217</v>
      </c>
      <c r="I26" s="12" t="s">
        <v>26</v>
      </c>
      <c r="J26" s="13">
        <f>IFERROR(INDEX(Legend!$B$5:$B$7,MATCH(I26,Legend!$A$5:$A$7,0)),0)</f>
        <v>8</v>
      </c>
      <c r="K26" s="10" t="s">
        <v>20</v>
      </c>
      <c r="L26" s="10" t="s">
        <v>16</v>
      </c>
      <c r="M26" s="6" t="s">
        <v>218</v>
      </c>
      <c r="N26" s="10" t="s">
        <v>79</v>
      </c>
      <c r="O26" s="10"/>
    </row>
    <row r="27" spans="1:15" ht="28" x14ac:dyDescent="0.2">
      <c r="A27" s="6" t="s">
        <v>219</v>
      </c>
      <c r="B27" s="6" t="s">
        <v>9</v>
      </c>
      <c r="C27" s="6" t="s">
        <v>32</v>
      </c>
      <c r="D27" s="6" t="s">
        <v>220</v>
      </c>
      <c r="E27" s="6" t="s">
        <v>221</v>
      </c>
      <c r="F27" s="6" t="s">
        <v>222</v>
      </c>
      <c r="G27" s="6" t="s">
        <v>99</v>
      </c>
      <c r="H27" s="6" t="s">
        <v>223</v>
      </c>
      <c r="I27" s="12" t="s">
        <v>25</v>
      </c>
      <c r="J27" s="13">
        <f>IFERROR(INDEX(Legend!$B$5:$B$7,MATCH(I27,Legend!$A$5:$A$7,0)),0)</f>
        <v>3</v>
      </c>
      <c r="K27" s="10" t="s">
        <v>21</v>
      </c>
      <c r="L27" s="10" t="s">
        <v>16</v>
      </c>
      <c r="M27" s="6" t="s">
        <v>95</v>
      </c>
      <c r="N27" s="10" t="s">
        <v>79</v>
      </c>
      <c r="O27" s="10"/>
    </row>
    <row r="28" spans="1:15" ht="42" x14ac:dyDescent="0.2">
      <c r="A28" s="6" t="s">
        <v>224</v>
      </c>
      <c r="B28" s="6" t="s">
        <v>9</v>
      </c>
      <c r="C28" s="6" t="s">
        <v>44</v>
      </c>
      <c r="D28" s="6" t="s">
        <v>225</v>
      </c>
      <c r="E28" s="6" t="s">
        <v>226</v>
      </c>
      <c r="F28" s="6" t="s">
        <v>227</v>
      </c>
      <c r="G28" s="6" t="s">
        <v>228</v>
      </c>
      <c r="H28" s="6" t="s">
        <v>229</v>
      </c>
      <c r="I28" s="12" t="s">
        <v>24</v>
      </c>
      <c r="J28" s="13">
        <f>IFERROR(INDEX(Legend!$B$5:$B$7,MATCH(I28,Legend!$A$5:$A$7,0)),0)</f>
        <v>2</v>
      </c>
      <c r="K28" s="10" t="s">
        <v>22</v>
      </c>
      <c r="L28" s="10" t="s">
        <v>17</v>
      </c>
      <c r="M28" s="6"/>
      <c r="N28" s="10" t="s">
        <v>79</v>
      </c>
      <c r="O28" s="10"/>
    </row>
    <row r="29" spans="1:15" ht="28" x14ac:dyDescent="0.2">
      <c r="A29" s="6" t="s">
        <v>230</v>
      </c>
      <c r="B29" s="6" t="s">
        <v>10</v>
      </c>
      <c r="C29" s="6" t="s">
        <v>32</v>
      </c>
      <c r="D29" s="6" t="s">
        <v>231</v>
      </c>
      <c r="E29" s="6" t="s">
        <v>232</v>
      </c>
      <c r="F29" s="6" t="s">
        <v>233</v>
      </c>
      <c r="G29" s="6" t="s">
        <v>234</v>
      </c>
      <c r="H29" s="6" t="s">
        <v>235</v>
      </c>
      <c r="I29" s="12" t="s">
        <v>24</v>
      </c>
      <c r="J29" s="13">
        <f>IFERROR(INDEX(Legend!$B$5:$B$7,MATCH(I29,Legend!$A$5:$A$7,0)),0)</f>
        <v>2</v>
      </c>
      <c r="K29" s="10" t="s">
        <v>22</v>
      </c>
      <c r="L29" s="10" t="s">
        <v>16</v>
      </c>
      <c r="M29" s="6" t="s">
        <v>213</v>
      </c>
      <c r="N29" s="10" t="s">
        <v>79</v>
      </c>
      <c r="O29" s="10"/>
    </row>
    <row r="30" spans="1:15" ht="28" x14ac:dyDescent="0.2">
      <c r="A30" s="6" t="s">
        <v>236</v>
      </c>
      <c r="B30" s="6" t="s">
        <v>10</v>
      </c>
      <c r="C30" s="6" t="s">
        <v>40</v>
      </c>
      <c r="D30" s="6" t="s">
        <v>237</v>
      </c>
      <c r="E30" s="6" t="s">
        <v>238</v>
      </c>
      <c r="F30" s="6" t="s">
        <v>239</v>
      </c>
      <c r="G30" s="6" t="s">
        <v>234</v>
      </c>
      <c r="H30" s="6" t="s">
        <v>240</v>
      </c>
      <c r="I30" s="12" t="s">
        <v>25</v>
      </c>
      <c r="J30" s="13">
        <f>IFERROR(INDEX(Legend!$B$5:$B$7,MATCH(I30,Legend!$A$5:$A$7,0)),0)</f>
        <v>3</v>
      </c>
      <c r="K30" s="10" t="s">
        <v>21</v>
      </c>
      <c r="L30" s="10" t="s">
        <v>16</v>
      </c>
      <c r="M30" s="6" t="s">
        <v>230</v>
      </c>
      <c r="N30" s="10" t="s">
        <v>79</v>
      </c>
      <c r="O30" s="10"/>
    </row>
    <row r="31" spans="1:15" ht="28" x14ac:dyDescent="0.2">
      <c r="A31" s="6" t="s">
        <v>241</v>
      </c>
      <c r="B31" s="6" t="s">
        <v>10</v>
      </c>
      <c r="C31" s="6" t="s">
        <v>41</v>
      </c>
      <c r="D31" s="6" t="s">
        <v>242</v>
      </c>
      <c r="E31" s="6" t="s">
        <v>243</v>
      </c>
      <c r="F31" s="6" t="s">
        <v>244</v>
      </c>
      <c r="G31" s="6" t="s">
        <v>245</v>
      </c>
      <c r="H31" s="6" t="s">
        <v>240</v>
      </c>
      <c r="I31" s="12" t="s">
        <v>25</v>
      </c>
      <c r="J31" s="13">
        <f>IFERROR(INDEX(Legend!$B$5:$B$7,MATCH(I31,Legend!$A$5:$A$7,0)),0)</f>
        <v>3</v>
      </c>
      <c r="K31" s="10" t="s">
        <v>21</v>
      </c>
      <c r="L31" s="10" t="s">
        <v>16</v>
      </c>
      <c r="M31" s="6" t="s">
        <v>236</v>
      </c>
      <c r="N31" s="10" t="s">
        <v>79</v>
      </c>
      <c r="O31" s="10"/>
    </row>
    <row r="32" spans="1:15" ht="28" x14ac:dyDescent="0.2">
      <c r="A32" s="6" t="s">
        <v>246</v>
      </c>
      <c r="B32" s="6" t="s">
        <v>10</v>
      </c>
      <c r="C32" s="6" t="s">
        <v>34</v>
      </c>
      <c r="D32" s="6" t="s">
        <v>247</v>
      </c>
      <c r="E32" s="6" t="s">
        <v>248</v>
      </c>
      <c r="F32" s="6" t="s">
        <v>249</v>
      </c>
      <c r="G32" s="6" t="s">
        <v>234</v>
      </c>
      <c r="H32" s="6" t="s">
        <v>139</v>
      </c>
      <c r="I32" s="12" t="s">
        <v>25</v>
      </c>
      <c r="J32" s="13">
        <f>IFERROR(INDEX(Legend!$B$5:$B$7,MATCH(I32,Legend!$A$5:$A$7,0)),0)</f>
        <v>3</v>
      </c>
      <c r="K32" s="10" t="s">
        <v>21</v>
      </c>
      <c r="L32" s="10" t="s">
        <v>16</v>
      </c>
      <c r="M32" s="6" t="s">
        <v>250</v>
      </c>
      <c r="N32" s="10" t="s">
        <v>79</v>
      </c>
      <c r="O32" s="10"/>
    </row>
    <row r="33" spans="1:15" x14ac:dyDescent="0.2">
      <c r="A33" s="6" t="s">
        <v>251</v>
      </c>
      <c r="B33" s="6" t="s">
        <v>10</v>
      </c>
      <c r="C33" s="6" t="s">
        <v>53</v>
      </c>
      <c r="D33" s="6" t="s">
        <v>252</v>
      </c>
      <c r="E33" s="6" t="s">
        <v>253</v>
      </c>
      <c r="F33" s="6" t="s">
        <v>254</v>
      </c>
      <c r="G33" s="6" t="s">
        <v>234</v>
      </c>
      <c r="H33" s="6" t="s">
        <v>139</v>
      </c>
      <c r="I33" s="12" t="s">
        <v>24</v>
      </c>
      <c r="J33" s="13">
        <f>IFERROR(INDEX(Legend!$B$5:$B$7,MATCH(I33,Legend!$A$5:$A$7,0)),0)</f>
        <v>2</v>
      </c>
      <c r="K33" s="10" t="s">
        <v>22</v>
      </c>
      <c r="L33" s="10" t="s">
        <v>17</v>
      </c>
      <c r="M33" s="6" t="s">
        <v>246</v>
      </c>
      <c r="N33" s="10" t="s">
        <v>79</v>
      </c>
      <c r="O33" s="10"/>
    </row>
    <row r="34" spans="1:15" x14ac:dyDescent="0.2">
      <c r="A34" s="6" t="s">
        <v>255</v>
      </c>
      <c r="B34" s="6" t="s">
        <v>10</v>
      </c>
      <c r="C34" s="6" t="s">
        <v>35</v>
      </c>
      <c r="D34" s="6" t="s">
        <v>256</v>
      </c>
      <c r="E34" s="6" t="s">
        <v>257</v>
      </c>
      <c r="F34" s="6" t="s">
        <v>258</v>
      </c>
      <c r="G34" s="6" t="s">
        <v>234</v>
      </c>
      <c r="H34" s="6" t="s">
        <v>110</v>
      </c>
      <c r="I34" s="12" t="s">
        <v>24</v>
      </c>
      <c r="J34" s="13">
        <f>IFERROR(INDEX(Legend!$B$5:$B$7,MATCH(I34,Legend!$A$5:$A$7,0)),0)</f>
        <v>2</v>
      </c>
      <c r="K34" s="10" t="s">
        <v>22</v>
      </c>
      <c r="L34" s="10" t="s">
        <v>16</v>
      </c>
      <c r="M34" s="6" t="s">
        <v>259</v>
      </c>
      <c r="N34" s="10" t="s">
        <v>79</v>
      </c>
      <c r="O34" s="10"/>
    </row>
    <row r="35" spans="1:15" ht="28" x14ac:dyDescent="0.2">
      <c r="A35" s="6" t="s">
        <v>260</v>
      </c>
      <c r="B35" s="6" t="s">
        <v>10</v>
      </c>
      <c r="C35" s="6" t="s">
        <v>40</v>
      </c>
      <c r="D35" s="6" t="s">
        <v>261</v>
      </c>
      <c r="E35" s="6" t="s">
        <v>262</v>
      </c>
      <c r="F35" s="6" t="s">
        <v>263</v>
      </c>
      <c r="G35" s="6" t="s">
        <v>234</v>
      </c>
      <c r="H35" s="6" t="s">
        <v>191</v>
      </c>
      <c r="I35" s="12" t="s">
        <v>25</v>
      </c>
      <c r="J35" s="13">
        <f>IFERROR(INDEX(Legend!$B$5:$B$7,MATCH(I35,Legend!$A$5:$A$7,0)),0)</f>
        <v>3</v>
      </c>
      <c r="K35" s="10" t="s">
        <v>21</v>
      </c>
      <c r="L35" s="10" t="s">
        <v>16</v>
      </c>
      <c r="M35" s="6" t="s">
        <v>264</v>
      </c>
      <c r="N35" s="10" t="s">
        <v>79</v>
      </c>
      <c r="O35" s="10"/>
    </row>
    <row r="36" spans="1:15" x14ac:dyDescent="0.2">
      <c r="A36" s="6" t="s">
        <v>265</v>
      </c>
      <c r="B36" s="6" t="s">
        <v>10</v>
      </c>
      <c r="C36" s="6" t="s">
        <v>40</v>
      </c>
      <c r="D36" s="6" t="s">
        <v>266</v>
      </c>
      <c r="E36" s="6" t="s">
        <v>267</v>
      </c>
      <c r="F36" s="6" t="s">
        <v>268</v>
      </c>
      <c r="G36" s="6" t="s">
        <v>234</v>
      </c>
      <c r="H36" s="6" t="s">
        <v>191</v>
      </c>
      <c r="I36" s="12" t="s">
        <v>25</v>
      </c>
      <c r="J36" s="13">
        <f>IFERROR(INDEX(Legend!$B$5:$B$7,MATCH(I36,Legend!$A$5:$A$7,0)),0)</f>
        <v>3</v>
      </c>
      <c r="K36" s="10" t="s">
        <v>21</v>
      </c>
      <c r="L36" s="10" t="s">
        <v>17</v>
      </c>
      <c r="M36" s="6" t="s">
        <v>260</v>
      </c>
      <c r="N36" s="10" t="s">
        <v>79</v>
      </c>
      <c r="O36" s="10"/>
    </row>
    <row r="37" spans="1:15" ht="28" x14ac:dyDescent="0.2">
      <c r="A37" s="6" t="s">
        <v>269</v>
      </c>
      <c r="B37" s="6" t="s">
        <v>10</v>
      </c>
      <c r="C37" s="6" t="s">
        <v>51</v>
      </c>
      <c r="D37" s="6" t="s">
        <v>270</v>
      </c>
      <c r="E37" s="6" t="s">
        <v>271</v>
      </c>
      <c r="F37" s="6" t="s">
        <v>272</v>
      </c>
      <c r="G37" s="6" t="s">
        <v>234</v>
      </c>
      <c r="H37" s="6" t="s">
        <v>273</v>
      </c>
      <c r="I37" s="12" t="s">
        <v>25</v>
      </c>
      <c r="J37" s="13">
        <f>IFERROR(INDEX(Legend!$B$5:$B$7,MATCH(I37,Legend!$A$5:$A$7,0)),0)</f>
        <v>3</v>
      </c>
      <c r="K37" s="10" t="s">
        <v>20</v>
      </c>
      <c r="L37" s="10" t="s">
        <v>16</v>
      </c>
      <c r="M37" s="6" t="s">
        <v>236</v>
      </c>
      <c r="N37" s="10" t="s">
        <v>79</v>
      </c>
      <c r="O37" s="10"/>
    </row>
    <row r="38" spans="1:15" ht="28" x14ac:dyDescent="0.2">
      <c r="A38" s="6" t="s">
        <v>274</v>
      </c>
      <c r="B38" s="6" t="s">
        <v>10</v>
      </c>
      <c r="C38" s="6" t="s">
        <v>51</v>
      </c>
      <c r="D38" s="6" t="s">
        <v>275</v>
      </c>
      <c r="E38" s="6" t="s">
        <v>276</v>
      </c>
      <c r="F38" s="6" t="s">
        <v>277</v>
      </c>
      <c r="G38" s="6" t="s">
        <v>278</v>
      </c>
      <c r="H38" s="6" t="s">
        <v>273</v>
      </c>
      <c r="I38" s="12" t="s">
        <v>25</v>
      </c>
      <c r="J38" s="13">
        <f>IFERROR(INDEX(Legend!$B$5:$B$7,MATCH(I38,Legend!$A$5:$A$7,0)),0)</f>
        <v>3</v>
      </c>
      <c r="K38" s="10" t="s">
        <v>20</v>
      </c>
      <c r="L38" s="10" t="s">
        <v>16</v>
      </c>
      <c r="M38" s="6" t="s">
        <v>279</v>
      </c>
      <c r="N38" s="10" t="s">
        <v>79</v>
      </c>
      <c r="O38" s="10"/>
    </row>
    <row r="39" spans="1:15" x14ac:dyDescent="0.2">
      <c r="A39" s="6" t="s">
        <v>280</v>
      </c>
      <c r="B39" s="6" t="s">
        <v>10</v>
      </c>
      <c r="C39" s="6" t="s">
        <v>50</v>
      </c>
      <c r="D39" s="6" t="s">
        <v>281</v>
      </c>
      <c r="E39" s="6" t="s">
        <v>282</v>
      </c>
      <c r="F39" s="6" t="s">
        <v>283</v>
      </c>
      <c r="G39" s="6" t="s">
        <v>234</v>
      </c>
      <c r="H39" s="6" t="s">
        <v>223</v>
      </c>
      <c r="I39" s="12" t="s">
        <v>24</v>
      </c>
      <c r="J39" s="13">
        <f>IFERROR(INDEX(Legend!$B$5:$B$7,MATCH(I39,Legend!$A$5:$A$7,0)),0)</f>
        <v>2</v>
      </c>
      <c r="K39" s="10" t="s">
        <v>22</v>
      </c>
      <c r="L39" s="10" t="s">
        <v>16</v>
      </c>
      <c r="M39" s="6" t="s">
        <v>284</v>
      </c>
      <c r="N39" s="10" t="s">
        <v>79</v>
      </c>
      <c r="O39" s="10"/>
    </row>
    <row r="40" spans="1:15" ht="28" x14ac:dyDescent="0.2">
      <c r="A40" s="6" t="s">
        <v>285</v>
      </c>
      <c r="B40" s="6" t="s">
        <v>10</v>
      </c>
      <c r="C40" s="6" t="s">
        <v>52</v>
      </c>
      <c r="D40" s="6" t="s">
        <v>286</v>
      </c>
      <c r="E40" s="6" t="s">
        <v>287</v>
      </c>
      <c r="F40" s="6" t="s">
        <v>288</v>
      </c>
      <c r="G40" s="6" t="s">
        <v>278</v>
      </c>
      <c r="H40" s="6" t="s">
        <v>273</v>
      </c>
      <c r="I40" s="12" t="s">
        <v>25</v>
      </c>
      <c r="J40" s="13">
        <f>IFERROR(INDEX(Legend!$B$5:$B$7,MATCH(I40,Legend!$A$5:$A$7,0)),0)</f>
        <v>3</v>
      </c>
      <c r="K40" s="10" t="s">
        <v>21</v>
      </c>
      <c r="L40" s="10" t="s">
        <v>16</v>
      </c>
      <c r="M40" s="6" t="s">
        <v>269</v>
      </c>
      <c r="N40" s="10" t="s">
        <v>79</v>
      </c>
      <c r="O40" s="10"/>
    </row>
    <row r="41" spans="1:15" x14ac:dyDescent="0.2">
      <c r="A41" s="6" t="s">
        <v>289</v>
      </c>
      <c r="B41" s="6" t="s">
        <v>10</v>
      </c>
      <c r="C41" s="6" t="s">
        <v>34</v>
      </c>
      <c r="D41" s="6" t="s">
        <v>290</v>
      </c>
      <c r="E41" s="6" t="s">
        <v>291</v>
      </c>
      <c r="F41" s="6" t="s">
        <v>292</v>
      </c>
      <c r="G41" s="6" t="s">
        <v>234</v>
      </c>
      <c r="H41" s="6" t="s">
        <v>223</v>
      </c>
      <c r="I41" s="12" t="s">
        <v>24</v>
      </c>
      <c r="J41" s="13">
        <f>IFERROR(INDEX(Legend!$B$5:$B$7,MATCH(I41,Legend!$A$5:$A$7,0)),0)</f>
        <v>2</v>
      </c>
      <c r="K41" s="10" t="s">
        <v>22</v>
      </c>
      <c r="L41" s="10" t="s">
        <v>17</v>
      </c>
      <c r="M41" s="6" t="s">
        <v>246</v>
      </c>
      <c r="N41" s="10" t="s">
        <v>79</v>
      </c>
      <c r="O41" s="10"/>
    </row>
    <row r="42" spans="1:15" x14ac:dyDescent="0.2">
      <c r="A42" s="6" t="s">
        <v>293</v>
      </c>
      <c r="B42" s="6" t="s">
        <v>11</v>
      </c>
      <c r="C42" s="6" t="s">
        <v>32</v>
      </c>
      <c r="D42" s="6" t="s">
        <v>294</v>
      </c>
      <c r="E42" s="6" t="s">
        <v>295</v>
      </c>
      <c r="F42" s="6" t="s">
        <v>296</v>
      </c>
      <c r="G42" s="6" t="s">
        <v>297</v>
      </c>
      <c r="H42" s="6" t="s">
        <v>202</v>
      </c>
      <c r="I42" s="12" t="s">
        <v>24</v>
      </c>
      <c r="J42" s="13">
        <f>IFERROR(INDEX(Legend!$B$5:$B$7,MATCH(I42,Legend!$A$5:$A$7,0)),0)</f>
        <v>2</v>
      </c>
      <c r="K42" s="10" t="s">
        <v>22</v>
      </c>
      <c r="L42" s="10" t="s">
        <v>16</v>
      </c>
      <c r="M42" s="6" t="s">
        <v>230</v>
      </c>
      <c r="N42" s="10" t="s">
        <v>79</v>
      </c>
      <c r="O42" s="10"/>
    </row>
    <row r="43" spans="1:15" ht="28" x14ac:dyDescent="0.2">
      <c r="A43" s="6" t="s">
        <v>298</v>
      </c>
      <c r="B43" s="6" t="s">
        <v>11</v>
      </c>
      <c r="C43" s="6" t="s">
        <v>51</v>
      </c>
      <c r="D43" s="6" t="s">
        <v>299</v>
      </c>
      <c r="E43" s="6" t="s">
        <v>300</v>
      </c>
      <c r="F43" s="6" t="s">
        <v>301</v>
      </c>
      <c r="G43" s="6" t="s">
        <v>297</v>
      </c>
      <c r="H43" s="6" t="s">
        <v>273</v>
      </c>
      <c r="I43" s="12" t="s">
        <v>24</v>
      </c>
      <c r="J43" s="13">
        <f>IFERROR(INDEX(Legend!$B$5:$B$7,MATCH(I43,Legend!$A$5:$A$7,0)),0)</f>
        <v>2</v>
      </c>
      <c r="K43" s="10" t="s">
        <v>21</v>
      </c>
      <c r="L43" s="10" t="s">
        <v>16</v>
      </c>
      <c r="M43" s="6" t="s">
        <v>293</v>
      </c>
      <c r="N43" s="10" t="s">
        <v>79</v>
      </c>
      <c r="O43" s="10"/>
    </row>
    <row r="44" spans="1:15" ht="28" x14ac:dyDescent="0.2">
      <c r="A44" s="6" t="s">
        <v>302</v>
      </c>
      <c r="B44" s="6" t="s">
        <v>11</v>
      </c>
      <c r="C44" s="6" t="s">
        <v>51</v>
      </c>
      <c r="D44" s="6" t="s">
        <v>303</v>
      </c>
      <c r="E44" s="6" t="s">
        <v>304</v>
      </c>
      <c r="F44" s="6" t="s">
        <v>305</v>
      </c>
      <c r="G44" s="6" t="s">
        <v>297</v>
      </c>
      <c r="H44" s="6" t="s">
        <v>306</v>
      </c>
      <c r="I44" s="12" t="s">
        <v>24</v>
      </c>
      <c r="J44" s="13">
        <f>IFERROR(INDEX(Legend!$B$5:$B$7,MATCH(I44,Legend!$A$5:$A$7,0)),0)</f>
        <v>2</v>
      </c>
      <c r="K44" s="10" t="s">
        <v>21</v>
      </c>
      <c r="L44" s="10" t="s">
        <v>16</v>
      </c>
      <c r="M44" s="6" t="s">
        <v>298</v>
      </c>
      <c r="N44" s="10" t="s">
        <v>79</v>
      </c>
      <c r="O44" s="10"/>
    </row>
    <row r="45" spans="1:15" ht="28" x14ac:dyDescent="0.2">
      <c r="A45" s="6" t="s">
        <v>307</v>
      </c>
      <c r="B45" s="6" t="s">
        <v>11</v>
      </c>
      <c r="C45" s="6" t="s">
        <v>56</v>
      </c>
      <c r="D45" s="6" t="s">
        <v>308</v>
      </c>
      <c r="E45" s="6" t="s">
        <v>309</v>
      </c>
      <c r="F45" s="6" t="s">
        <v>310</v>
      </c>
      <c r="G45" s="6" t="s">
        <v>297</v>
      </c>
      <c r="H45" s="6" t="s">
        <v>197</v>
      </c>
      <c r="I45" s="12" t="s">
        <v>25</v>
      </c>
      <c r="J45" s="13">
        <f>IFERROR(INDEX(Legend!$B$5:$B$7,MATCH(I45,Legend!$A$5:$A$7,0)),0)</f>
        <v>3</v>
      </c>
      <c r="K45" s="10" t="s">
        <v>22</v>
      </c>
      <c r="L45" s="10" t="s">
        <v>16</v>
      </c>
      <c r="M45" s="6" t="s">
        <v>311</v>
      </c>
      <c r="N45" s="10" t="s">
        <v>79</v>
      </c>
      <c r="O45" s="10"/>
    </row>
    <row r="46" spans="1:15" ht="28" x14ac:dyDescent="0.2">
      <c r="A46" s="6" t="s">
        <v>312</v>
      </c>
      <c r="B46" s="6" t="s">
        <v>11</v>
      </c>
      <c r="C46" s="6" t="s">
        <v>35</v>
      </c>
      <c r="D46" s="6" t="s">
        <v>313</v>
      </c>
      <c r="E46" s="6" t="s">
        <v>314</v>
      </c>
      <c r="F46" s="6" t="s">
        <v>315</v>
      </c>
      <c r="G46" s="6" t="s">
        <v>297</v>
      </c>
      <c r="H46" s="6" t="s">
        <v>197</v>
      </c>
      <c r="I46" s="12" t="s">
        <v>24</v>
      </c>
      <c r="J46" s="13">
        <f>IFERROR(INDEX(Legend!$B$5:$B$7,MATCH(I46,Legend!$A$5:$A$7,0)),0)</f>
        <v>2</v>
      </c>
      <c r="K46" s="10" t="s">
        <v>22</v>
      </c>
      <c r="L46" s="10" t="s">
        <v>16</v>
      </c>
      <c r="M46" s="6" t="s">
        <v>316</v>
      </c>
      <c r="N46" s="10" t="s">
        <v>79</v>
      </c>
      <c r="O46" s="10"/>
    </row>
    <row r="47" spans="1:15" ht="28" x14ac:dyDescent="0.2">
      <c r="A47" s="6" t="s">
        <v>317</v>
      </c>
      <c r="B47" s="6" t="s">
        <v>11</v>
      </c>
      <c r="C47" s="6" t="s">
        <v>55</v>
      </c>
      <c r="D47" s="6" t="s">
        <v>318</v>
      </c>
      <c r="E47" s="6" t="s">
        <v>319</v>
      </c>
      <c r="F47" s="6" t="s">
        <v>320</v>
      </c>
      <c r="G47" s="6" t="s">
        <v>99</v>
      </c>
      <c r="H47" s="6" t="s">
        <v>197</v>
      </c>
      <c r="I47" s="12" t="s">
        <v>25</v>
      </c>
      <c r="J47" s="13">
        <f>IFERROR(INDEX(Legend!$B$5:$B$7,MATCH(I47,Legend!$A$5:$A$7,0)),0)</f>
        <v>3</v>
      </c>
      <c r="K47" s="10" t="s">
        <v>21</v>
      </c>
      <c r="L47" s="10" t="s">
        <v>17</v>
      </c>
      <c r="M47" s="6" t="s">
        <v>192</v>
      </c>
      <c r="N47" s="10" t="s">
        <v>79</v>
      </c>
      <c r="O47" s="10"/>
    </row>
    <row r="48" spans="1:15" ht="28" x14ac:dyDescent="0.2">
      <c r="A48" s="6" t="s">
        <v>321</v>
      </c>
      <c r="B48" s="6" t="s">
        <v>11</v>
      </c>
      <c r="C48" s="6" t="s">
        <v>57</v>
      </c>
      <c r="D48" s="6" t="s">
        <v>322</v>
      </c>
      <c r="E48" s="6" t="s">
        <v>323</v>
      </c>
      <c r="F48" s="6" t="s">
        <v>324</v>
      </c>
      <c r="G48" s="6" t="s">
        <v>234</v>
      </c>
      <c r="H48" s="6" t="s">
        <v>197</v>
      </c>
      <c r="I48" s="12" t="s">
        <v>25</v>
      </c>
      <c r="J48" s="13">
        <f>IFERROR(INDEX(Legend!$B$5:$B$7,MATCH(I48,Legend!$A$5:$A$7,0)),0)</f>
        <v>3</v>
      </c>
      <c r="K48" s="10" t="s">
        <v>21</v>
      </c>
      <c r="L48" s="10" t="s">
        <v>16</v>
      </c>
      <c r="M48" s="6" t="s">
        <v>246</v>
      </c>
      <c r="N48" s="10" t="s">
        <v>79</v>
      </c>
      <c r="O48" s="10"/>
    </row>
    <row r="49" spans="1:15" ht="28" x14ac:dyDescent="0.2">
      <c r="A49" s="6" t="s">
        <v>325</v>
      </c>
      <c r="B49" s="6" t="s">
        <v>11</v>
      </c>
      <c r="C49" s="6" t="s">
        <v>51</v>
      </c>
      <c r="D49" s="6" t="s">
        <v>326</v>
      </c>
      <c r="E49" s="6" t="s">
        <v>327</v>
      </c>
      <c r="F49" s="6" t="s">
        <v>328</v>
      </c>
      <c r="G49" s="6" t="s">
        <v>297</v>
      </c>
      <c r="H49" s="6" t="s">
        <v>273</v>
      </c>
      <c r="I49" s="12" t="s">
        <v>26</v>
      </c>
      <c r="J49" s="13">
        <f>IFERROR(INDEX(Legend!$B$5:$B$7,MATCH(I49,Legend!$A$5:$A$7,0)),0)</f>
        <v>8</v>
      </c>
      <c r="K49" s="10" t="s">
        <v>20</v>
      </c>
      <c r="L49" s="10" t="s">
        <v>16</v>
      </c>
      <c r="M49" s="6" t="s">
        <v>302</v>
      </c>
      <c r="N49" s="10" t="s">
        <v>79</v>
      </c>
      <c r="O49" s="10"/>
    </row>
    <row r="50" spans="1:15" ht="28" x14ac:dyDescent="0.2">
      <c r="A50" s="6" t="s">
        <v>329</v>
      </c>
      <c r="B50" s="6" t="s">
        <v>11</v>
      </c>
      <c r="C50" s="6" t="s">
        <v>55</v>
      </c>
      <c r="D50" s="6" t="s">
        <v>330</v>
      </c>
      <c r="E50" s="6" t="s">
        <v>331</v>
      </c>
      <c r="F50" s="6" t="s">
        <v>332</v>
      </c>
      <c r="G50" s="6" t="s">
        <v>297</v>
      </c>
      <c r="H50" s="6" t="s">
        <v>197</v>
      </c>
      <c r="I50" s="12" t="s">
        <v>24</v>
      </c>
      <c r="J50" s="13">
        <f>IFERROR(INDEX(Legend!$B$5:$B$7,MATCH(I50,Legend!$A$5:$A$7,0)),0)</f>
        <v>2</v>
      </c>
      <c r="K50" s="10" t="s">
        <v>22</v>
      </c>
      <c r="L50" s="10" t="s">
        <v>16</v>
      </c>
      <c r="M50" s="6" t="s">
        <v>333</v>
      </c>
      <c r="N50" s="10" t="s">
        <v>79</v>
      </c>
      <c r="O50" s="10"/>
    </row>
    <row r="51" spans="1:15" ht="28" x14ac:dyDescent="0.2">
      <c r="A51" s="6" t="s">
        <v>334</v>
      </c>
      <c r="B51" s="6" t="s">
        <v>11</v>
      </c>
      <c r="C51" s="6" t="s">
        <v>53</v>
      </c>
      <c r="D51" s="6" t="s">
        <v>335</v>
      </c>
      <c r="E51" s="6" t="s">
        <v>336</v>
      </c>
      <c r="F51" s="6" t="s">
        <v>337</v>
      </c>
      <c r="G51" s="6" t="s">
        <v>42</v>
      </c>
      <c r="H51" s="6" t="s">
        <v>229</v>
      </c>
      <c r="I51" s="12" t="s">
        <v>25</v>
      </c>
      <c r="J51" s="13">
        <f>IFERROR(INDEX(Legend!$B$5:$B$7,MATCH(I51,Legend!$A$5:$A$7,0)),0)</f>
        <v>3</v>
      </c>
      <c r="K51" s="10" t="s">
        <v>21</v>
      </c>
      <c r="L51" s="10" t="s">
        <v>16</v>
      </c>
      <c r="M51" s="6" t="s">
        <v>312</v>
      </c>
      <c r="N51" s="10" t="s">
        <v>79</v>
      </c>
      <c r="O51" s="10"/>
    </row>
    <row r="52" spans="1:15" ht="28" x14ac:dyDescent="0.2">
      <c r="A52" s="6" t="s">
        <v>338</v>
      </c>
      <c r="B52" s="6" t="s">
        <v>12</v>
      </c>
      <c r="C52" s="6" t="s">
        <v>34</v>
      </c>
      <c r="D52" s="6" t="s">
        <v>339</v>
      </c>
      <c r="E52" s="6" t="s">
        <v>340</v>
      </c>
      <c r="F52" s="6" t="s">
        <v>341</v>
      </c>
      <c r="G52" s="6" t="s">
        <v>234</v>
      </c>
      <c r="H52" s="6" t="s">
        <v>139</v>
      </c>
      <c r="I52" s="12" t="s">
        <v>25</v>
      </c>
      <c r="J52" s="13">
        <f>IFERROR(INDEX(Legend!$B$5:$B$7,MATCH(I52,Legend!$A$5:$A$7,0)),0)</f>
        <v>3</v>
      </c>
      <c r="K52" s="10" t="s">
        <v>21</v>
      </c>
      <c r="L52" s="10" t="s">
        <v>16</v>
      </c>
      <c r="M52" s="6" t="s">
        <v>342</v>
      </c>
      <c r="N52" s="10" t="s">
        <v>79</v>
      </c>
      <c r="O52" s="10"/>
    </row>
    <row r="53" spans="1:15" ht="28" x14ac:dyDescent="0.2">
      <c r="A53" s="6" t="s">
        <v>343</v>
      </c>
      <c r="B53" s="6" t="s">
        <v>12</v>
      </c>
      <c r="C53" s="6" t="s">
        <v>37</v>
      </c>
      <c r="D53" s="6" t="s">
        <v>344</v>
      </c>
      <c r="E53" s="6" t="s">
        <v>345</v>
      </c>
      <c r="F53" s="6" t="s">
        <v>346</v>
      </c>
      <c r="G53" s="6" t="s">
        <v>234</v>
      </c>
      <c r="H53" s="6" t="s">
        <v>148</v>
      </c>
      <c r="I53" s="12" t="s">
        <v>25</v>
      </c>
      <c r="J53" s="13">
        <f>IFERROR(INDEX(Legend!$B$5:$B$7,MATCH(I53,Legend!$A$5:$A$7,0)),0)</f>
        <v>3</v>
      </c>
      <c r="K53" s="10" t="s">
        <v>22</v>
      </c>
      <c r="L53" s="10" t="s">
        <v>16</v>
      </c>
      <c r="M53" s="6" t="s">
        <v>347</v>
      </c>
      <c r="N53" s="10" t="s">
        <v>79</v>
      </c>
      <c r="O53" s="10"/>
    </row>
    <row r="54" spans="1:15" x14ac:dyDescent="0.2">
      <c r="A54" s="6" t="s">
        <v>348</v>
      </c>
      <c r="B54" s="6" t="s">
        <v>12</v>
      </c>
      <c r="C54" s="6" t="s">
        <v>43</v>
      </c>
      <c r="D54" s="6" t="s">
        <v>349</v>
      </c>
      <c r="E54" s="6" t="s">
        <v>350</v>
      </c>
      <c r="F54" s="6" t="s">
        <v>351</v>
      </c>
      <c r="G54" s="6" t="s">
        <v>234</v>
      </c>
      <c r="H54" s="6" t="s">
        <v>148</v>
      </c>
      <c r="I54" s="12" t="s">
        <v>25</v>
      </c>
      <c r="J54" s="13">
        <f>IFERROR(INDEX(Legend!$B$5:$B$7,MATCH(I54,Legend!$A$5:$A$7,0)),0)</f>
        <v>3</v>
      </c>
      <c r="K54" s="10" t="s">
        <v>22</v>
      </c>
      <c r="L54" s="10" t="s">
        <v>16</v>
      </c>
      <c r="M54" s="6" t="s">
        <v>149</v>
      </c>
      <c r="N54" s="10" t="s">
        <v>79</v>
      </c>
      <c r="O54" s="10"/>
    </row>
    <row r="55" spans="1:15" ht="28" x14ac:dyDescent="0.2">
      <c r="A55" s="6" t="s">
        <v>352</v>
      </c>
      <c r="B55" s="6" t="s">
        <v>12</v>
      </c>
      <c r="C55" s="6" t="s">
        <v>28</v>
      </c>
      <c r="D55" s="6" t="s">
        <v>353</v>
      </c>
      <c r="E55" s="6" t="s">
        <v>354</v>
      </c>
      <c r="F55" s="6" t="s">
        <v>355</v>
      </c>
      <c r="G55" s="6" t="s">
        <v>234</v>
      </c>
      <c r="H55" s="6" t="s">
        <v>148</v>
      </c>
      <c r="I55" s="12" t="s">
        <v>24</v>
      </c>
      <c r="J55" s="13">
        <f>IFERROR(INDEX(Legend!$B$5:$B$7,MATCH(I55,Legend!$A$5:$A$7,0)),0)</f>
        <v>2</v>
      </c>
      <c r="K55" s="10" t="s">
        <v>21</v>
      </c>
      <c r="L55" s="10" t="s">
        <v>17</v>
      </c>
      <c r="M55" s="6" t="s">
        <v>153</v>
      </c>
      <c r="N55" s="10" t="s">
        <v>79</v>
      </c>
      <c r="O55" s="10"/>
    </row>
    <row r="56" spans="1:15" x14ac:dyDescent="0.2">
      <c r="A56" s="6" t="s">
        <v>356</v>
      </c>
      <c r="B56" s="6" t="s">
        <v>12</v>
      </c>
      <c r="C56" s="6" t="s">
        <v>46</v>
      </c>
      <c r="D56" s="6" t="s">
        <v>357</v>
      </c>
      <c r="E56" s="6" t="s">
        <v>358</v>
      </c>
      <c r="F56" s="6" t="s">
        <v>359</v>
      </c>
      <c r="G56" s="6" t="s">
        <v>234</v>
      </c>
      <c r="H56" s="6" t="s">
        <v>163</v>
      </c>
      <c r="I56" s="12" t="s">
        <v>24</v>
      </c>
      <c r="J56" s="13">
        <f>IFERROR(INDEX(Legend!$B$5:$B$7,MATCH(I56,Legend!$A$5:$A$7,0)),0)</f>
        <v>2</v>
      </c>
      <c r="K56" s="10" t="s">
        <v>22</v>
      </c>
      <c r="L56" s="10" t="s">
        <v>16</v>
      </c>
      <c r="M56" s="6" t="s">
        <v>159</v>
      </c>
      <c r="N56" s="10" t="s">
        <v>79</v>
      </c>
      <c r="O56" s="10"/>
    </row>
    <row r="57" spans="1:15" ht="28" x14ac:dyDescent="0.2">
      <c r="A57" s="6" t="s">
        <v>360</v>
      </c>
      <c r="B57" s="6" t="s">
        <v>12</v>
      </c>
      <c r="C57" s="6" t="s">
        <v>46</v>
      </c>
      <c r="D57" s="6" t="s">
        <v>361</v>
      </c>
      <c r="E57" s="6" t="s">
        <v>362</v>
      </c>
      <c r="F57" s="6" t="s">
        <v>363</v>
      </c>
      <c r="G57" s="6" t="s">
        <v>234</v>
      </c>
      <c r="H57" s="6" t="s">
        <v>163</v>
      </c>
      <c r="I57" s="12" t="s">
        <v>24</v>
      </c>
      <c r="J57" s="13">
        <f>IFERROR(INDEX(Legend!$B$5:$B$7,MATCH(I57,Legend!$A$5:$A$7,0)),0)</f>
        <v>2</v>
      </c>
      <c r="K57" s="10" t="s">
        <v>21</v>
      </c>
      <c r="L57" s="10" t="s">
        <v>16</v>
      </c>
      <c r="M57" s="6"/>
      <c r="N57" s="10" t="s">
        <v>79</v>
      </c>
      <c r="O57" s="10"/>
    </row>
    <row r="58" spans="1:15" ht="28" x14ac:dyDescent="0.2">
      <c r="A58" s="6" t="s">
        <v>364</v>
      </c>
      <c r="B58" s="6" t="s">
        <v>12</v>
      </c>
      <c r="C58" s="6" t="s">
        <v>46</v>
      </c>
      <c r="D58" s="6" t="s">
        <v>365</v>
      </c>
      <c r="E58" s="6" t="s">
        <v>366</v>
      </c>
      <c r="F58" s="6" t="s">
        <v>367</v>
      </c>
      <c r="G58" s="6" t="s">
        <v>234</v>
      </c>
      <c r="H58" s="6" t="s">
        <v>163</v>
      </c>
      <c r="I58" s="12" t="s">
        <v>25</v>
      </c>
      <c r="J58" s="13">
        <f>IFERROR(INDEX(Legend!$B$5:$B$7,MATCH(I58,Legend!$A$5:$A$7,0)),0)</f>
        <v>3</v>
      </c>
      <c r="K58" s="10" t="s">
        <v>20</v>
      </c>
      <c r="L58" s="10" t="s">
        <v>16</v>
      </c>
      <c r="M58" s="6" t="s">
        <v>368</v>
      </c>
      <c r="N58" s="10" t="s">
        <v>79</v>
      </c>
      <c r="O58" s="10"/>
    </row>
    <row r="59" spans="1:15" ht="28" x14ac:dyDescent="0.2">
      <c r="A59" s="6" t="s">
        <v>369</v>
      </c>
      <c r="B59" s="6" t="s">
        <v>12</v>
      </c>
      <c r="C59" s="6" t="s">
        <v>30</v>
      </c>
      <c r="D59" s="6" t="s">
        <v>370</v>
      </c>
      <c r="E59" s="6" t="s">
        <v>371</v>
      </c>
      <c r="F59" s="6" t="s">
        <v>372</v>
      </c>
      <c r="G59" s="6" t="s">
        <v>234</v>
      </c>
      <c r="H59" s="6" t="s">
        <v>168</v>
      </c>
      <c r="I59" s="12" t="s">
        <v>25</v>
      </c>
      <c r="J59" s="13">
        <f>IFERROR(INDEX(Legend!$B$5:$B$7,MATCH(I59,Legend!$A$5:$A$7,0)),0)</f>
        <v>3</v>
      </c>
      <c r="K59" s="10" t="s">
        <v>20</v>
      </c>
      <c r="L59" s="10" t="s">
        <v>16</v>
      </c>
      <c r="M59" s="6" t="s">
        <v>373</v>
      </c>
      <c r="N59" s="10" t="s">
        <v>79</v>
      </c>
      <c r="O59" s="10"/>
    </row>
    <row r="60" spans="1:15" x14ac:dyDescent="0.2">
      <c r="A60" s="6" t="s">
        <v>374</v>
      </c>
      <c r="B60" s="6" t="s">
        <v>12</v>
      </c>
      <c r="C60" s="6" t="s">
        <v>28</v>
      </c>
      <c r="D60" s="6" t="s">
        <v>375</v>
      </c>
      <c r="E60" s="6" t="s">
        <v>376</v>
      </c>
      <c r="F60" s="6" t="s">
        <v>377</v>
      </c>
      <c r="G60" s="6" t="s">
        <v>234</v>
      </c>
      <c r="H60" s="6" t="s">
        <v>163</v>
      </c>
      <c r="I60" s="12" t="s">
        <v>26</v>
      </c>
      <c r="J60" s="13">
        <f>IFERROR(INDEX(Legend!$B$5:$B$7,MATCH(I60,Legend!$A$5:$A$7,0)),0)</f>
        <v>8</v>
      </c>
      <c r="K60" s="10" t="s">
        <v>20</v>
      </c>
      <c r="L60" s="10" t="s">
        <v>17</v>
      </c>
      <c r="M60" s="6" t="s">
        <v>369</v>
      </c>
      <c r="N60" s="10" t="s">
        <v>79</v>
      </c>
      <c r="O60" s="10"/>
    </row>
    <row r="61" spans="1:15" ht="28" x14ac:dyDescent="0.2">
      <c r="A61" s="6" t="s">
        <v>378</v>
      </c>
      <c r="B61" s="6" t="s">
        <v>12</v>
      </c>
      <c r="C61" s="6" t="s">
        <v>29</v>
      </c>
      <c r="D61" s="6" t="s">
        <v>379</v>
      </c>
      <c r="E61" s="6" t="s">
        <v>380</v>
      </c>
      <c r="F61" s="6" t="s">
        <v>381</v>
      </c>
      <c r="G61" s="6" t="s">
        <v>234</v>
      </c>
      <c r="H61" s="6" t="s">
        <v>163</v>
      </c>
      <c r="I61" s="12" t="s">
        <v>26</v>
      </c>
      <c r="J61" s="13">
        <f>IFERROR(INDEX(Legend!$B$5:$B$7,MATCH(I61,Legend!$A$5:$A$7,0)),0)</f>
        <v>8</v>
      </c>
      <c r="K61" s="10" t="s">
        <v>20</v>
      </c>
      <c r="L61" s="10" t="s">
        <v>16</v>
      </c>
      <c r="M61" s="6" t="s">
        <v>382</v>
      </c>
      <c r="N61" s="10" t="s">
        <v>79</v>
      </c>
      <c r="O61" s="10"/>
    </row>
    <row r="62" spans="1:15" x14ac:dyDescent="0.2">
      <c r="A62" s="6" t="s">
        <v>383</v>
      </c>
      <c r="B62" s="6" t="s">
        <v>12</v>
      </c>
      <c r="C62" s="6" t="s">
        <v>54</v>
      </c>
      <c r="D62" s="6" t="s">
        <v>384</v>
      </c>
      <c r="E62" s="6" t="s">
        <v>385</v>
      </c>
      <c r="F62" s="6" t="s">
        <v>386</v>
      </c>
      <c r="G62" s="6" t="s">
        <v>234</v>
      </c>
      <c r="H62" s="6" t="s">
        <v>163</v>
      </c>
      <c r="I62" s="12" t="s">
        <v>24</v>
      </c>
      <c r="J62" s="13">
        <f>IFERROR(INDEX(Legend!$B$5:$B$7,MATCH(I62,Legend!$A$5:$A$7,0)),0)</f>
        <v>2</v>
      </c>
      <c r="K62" s="10" t="s">
        <v>22</v>
      </c>
      <c r="L62" s="10" t="s">
        <v>17</v>
      </c>
      <c r="M62" s="6" t="s">
        <v>378</v>
      </c>
      <c r="N62" s="10" t="s">
        <v>79</v>
      </c>
      <c r="O62" s="10"/>
    </row>
    <row r="63" spans="1:15" ht="28" x14ac:dyDescent="0.2">
      <c r="A63" s="6" t="s">
        <v>387</v>
      </c>
      <c r="B63" s="6" t="s">
        <v>12</v>
      </c>
      <c r="C63" s="6" t="s">
        <v>33</v>
      </c>
      <c r="D63" s="6" t="s">
        <v>388</v>
      </c>
      <c r="E63" s="6" t="s">
        <v>389</v>
      </c>
      <c r="F63" s="6" t="s">
        <v>390</v>
      </c>
      <c r="G63" s="6" t="s">
        <v>234</v>
      </c>
      <c r="H63" s="6" t="s">
        <v>223</v>
      </c>
      <c r="I63" s="12" t="s">
        <v>25</v>
      </c>
      <c r="J63" s="13">
        <f>IFERROR(INDEX(Legend!$B$5:$B$7,MATCH(I63,Legend!$A$5:$A$7,0)),0)</f>
        <v>3</v>
      </c>
      <c r="K63" s="10" t="s">
        <v>20</v>
      </c>
      <c r="L63" s="10" t="s">
        <v>16</v>
      </c>
      <c r="M63" s="6" t="s">
        <v>391</v>
      </c>
      <c r="N63" s="10" t="s">
        <v>79</v>
      </c>
      <c r="O63" s="10"/>
    </row>
    <row r="64" spans="1:15" x14ac:dyDescent="0.2">
      <c r="A64" s="6" t="s">
        <v>392</v>
      </c>
      <c r="B64" s="6" t="s">
        <v>12</v>
      </c>
      <c r="C64" s="6" t="s">
        <v>45</v>
      </c>
      <c r="D64" s="6" t="s">
        <v>393</v>
      </c>
      <c r="E64" s="6" t="s">
        <v>394</v>
      </c>
      <c r="F64" s="6" t="s">
        <v>395</v>
      </c>
      <c r="G64" s="6" t="s">
        <v>234</v>
      </c>
      <c r="H64" s="6" t="s">
        <v>163</v>
      </c>
      <c r="I64" s="12" t="s">
        <v>24</v>
      </c>
      <c r="J64" s="13">
        <f>IFERROR(INDEX(Legend!$B$5:$B$7,MATCH(I64,Legend!$A$5:$A$7,0)),0)</f>
        <v>2</v>
      </c>
      <c r="K64" s="10" t="s">
        <v>22</v>
      </c>
      <c r="L64" s="10" t="s">
        <v>18</v>
      </c>
      <c r="M64" s="6" t="s">
        <v>183</v>
      </c>
      <c r="N64" s="10" t="s">
        <v>79</v>
      </c>
      <c r="O64" s="10"/>
    </row>
    <row r="65" spans="1:15" x14ac:dyDescent="0.2">
      <c r="A65" s="6" t="s">
        <v>396</v>
      </c>
      <c r="B65" s="6" t="s">
        <v>12</v>
      </c>
      <c r="C65" s="6" t="s">
        <v>49</v>
      </c>
      <c r="D65" s="6" t="s">
        <v>397</v>
      </c>
      <c r="E65" s="6" t="s">
        <v>398</v>
      </c>
      <c r="F65" s="6" t="s">
        <v>399</v>
      </c>
      <c r="G65" s="6" t="s">
        <v>234</v>
      </c>
      <c r="H65" s="6" t="s">
        <v>223</v>
      </c>
      <c r="I65" s="12" t="s">
        <v>25</v>
      </c>
      <c r="J65" s="13">
        <f>IFERROR(INDEX(Legend!$B$5:$B$7,MATCH(I65,Legend!$A$5:$A$7,0)),0)</f>
        <v>3</v>
      </c>
      <c r="K65" s="10" t="s">
        <v>21</v>
      </c>
      <c r="L65" s="10" t="s">
        <v>17</v>
      </c>
      <c r="M65" s="6" t="s">
        <v>241</v>
      </c>
      <c r="N65" s="10" t="s">
        <v>79</v>
      </c>
      <c r="O65" s="10"/>
    </row>
    <row r="66" spans="1:15" ht="28" x14ac:dyDescent="0.2">
      <c r="A66" s="6" t="s">
        <v>400</v>
      </c>
      <c r="B66" s="6" t="s">
        <v>12</v>
      </c>
      <c r="C66" s="6" t="s">
        <v>38</v>
      </c>
      <c r="D66" s="6" t="s">
        <v>401</v>
      </c>
      <c r="E66" s="6" t="s">
        <v>402</v>
      </c>
      <c r="F66" s="6" t="s">
        <v>403</v>
      </c>
      <c r="G66" s="6" t="s">
        <v>234</v>
      </c>
      <c r="H66" s="6" t="s">
        <v>223</v>
      </c>
      <c r="I66" s="12" t="s">
        <v>25</v>
      </c>
      <c r="J66" s="13">
        <f>IFERROR(INDEX(Legend!$B$5:$B$7,MATCH(I66,Legend!$A$5:$A$7,0)),0)</f>
        <v>3</v>
      </c>
      <c r="K66" s="10" t="s">
        <v>21</v>
      </c>
      <c r="L66" s="10" t="s">
        <v>17</v>
      </c>
      <c r="M66" s="6" t="s">
        <v>241</v>
      </c>
      <c r="N66" s="10" t="s">
        <v>79</v>
      </c>
      <c r="O66" s="10"/>
    </row>
    <row r="67" spans="1:15" x14ac:dyDescent="0.2">
      <c r="A67" s="6" t="s">
        <v>404</v>
      </c>
      <c r="B67" s="6" t="s">
        <v>13</v>
      </c>
      <c r="C67" s="6" t="s">
        <v>53</v>
      </c>
      <c r="D67" s="6" t="s">
        <v>405</v>
      </c>
      <c r="E67" s="6" t="s">
        <v>406</v>
      </c>
      <c r="F67" s="6" t="s">
        <v>407</v>
      </c>
      <c r="G67" s="6" t="s">
        <v>42</v>
      </c>
      <c r="H67" s="6" t="s">
        <v>229</v>
      </c>
      <c r="I67" s="12" t="s">
        <v>26</v>
      </c>
      <c r="J67" s="13">
        <f>IFERROR(INDEX(Legend!$B$5:$B$7,MATCH(I67,Legend!$A$5:$A$7,0)),0)</f>
        <v>8</v>
      </c>
      <c r="K67" s="10" t="s">
        <v>20</v>
      </c>
      <c r="L67" s="10" t="s">
        <v>16</v>
      </c>
      <c r="M67" s="6" t="s">
        <v>408</v>
      </c>
      <c r="N67" s="10" t="s">
        <v>79</v>
      </c>
      <c r="O67" s="10"/>
    </row>
    <row r="68" spans="1:15" ht="28" x14ac:dyDescent="0.2">
      <c r="A68" s="6" t="s">
        <v>409</v>
      </c>
      <c r="B68" s="6" t="s">
        <v>13</v>
      </c>
      <c r="C68" s="6" t="s">
        <v>53</v>
      </c>
      <c r="D68" s="6" t="s">
        <v>410</v>
      </c>
      <c r="E68" s="6" t="s">
        <v>411</v>
      </c>
      <c r="F68" s="6" t="s">
        <v>412</v>
      </c>
      <c r="G68" s="6" t="s">
        <v>42</v>
      </c>
      <c r="H68" s="6" t="s">
        <v>229</v>
      </c>
      <c r="I68" s="12" t="s">
        <v>25</v>
      </c>
      <c r="J68" s="13">
        <f>IFERROR(INDEX(Legend!$B$5:$B$7,MATCH(I68,Legend!$A$5:$A$7,0)),0)</f>
        <v>3</v>
      </c>
      <c r="K68" s="10" t="s">
        <v>20</v>
      </c>
      <c r="L68" s="10" t="s">
        <v>16</v>
      </c>
      <c r="M68" s="6" t="s">
        <v>413</v>
      </c>
      <c r="N68" s="10" t="s">
        <v>79</v>
      </c>
      <c r="O68" s="10"/>
    </row>
    <row r="69" spans="1:15" x14ac:dyDescent="0.2">
      <c r="A69" s="6" t="s">
        <v>414</v>
      </c>
      <c r="B69" s="6" t="s">
        <v>13</v>
      </c>
      <c r="C69" s="6" t="s">
        <v>53</v>
      </c>
      <c r="D69" s="6" t="s">
        <v>415</v>
      </c>
      <c r="E69" s="6" t="s">
        <v>416</v>
      </c>
      <c r="F69" s="6" t="s">
        <v>417</v>
      </c>
      <c r="G69" s="6" t="s">
        <v>42</v>
      </c>
      <c r="H69" s="6" t="s">
        <v>229</v>
      </c>
      <c r="I69" s="12" t="s">
        <v>25</v>
      </c>
      <c r="J69" s="13">
        <f>IFERROR(INDEX(Legend!$B$5:$B$7,MATCH(I69,Legend!$A$5:$A$7,0)),0)</f>
        <v>3</v>
      </c>
      <c r="K69" s="10" t="s">
        <v>20</v>
      </c>
      <c r="L69" s="10" t="s">
        <v>16</v>
      </c>
      <c r="M69" s="6" t="s">
        <v>387</v>
      </c>
      <c r="N69" s="10" t="s">
        <v>79</v>
      </c>
      <c r="O69" s="10"/>
    </row>
    <row r="70" spans="1:15" ht="28" x14ac:dyDescent="0.2">
      <c r="A70" s="6" t="s">
        <v>418</v>
      </c>
      <c r="B70" s="6" t="s">
        <v>13</v>
      </c>
      <c r="C70" s="6" t="s">
        <v>53</v>
      </c>
      <c r="D70" s="6" t="s">
        <v>419</v>
      </c>
      <c r="E70" s="6" t="s">
        <v>420</v>
      </c>
      <c r="F70" s="6" t="s">
        <v>421</v>
      </c>
      <c r="G70" s="6" t="s">
        <v>42</v>
      </c>
      <c r="H70" s="6" t="s">
        <v>229</v>
      </c>
      <c r="I70" s="12" t="s">
        <v>25</v>
      </c>
      <c r="J70" s="13">
        <f>IFERROR(INDEX(Legend!$B$5:$B$7,MATCH(I70,Legend!$A$5:$A$7,0)),0)</f>
        <v>3</v>
      </c>
      <c r="K70" s="10" t="s">
        <v>21</v>
      </c>
      <c r="L70" s="10" t="s">
        <v>16</v>
      </c>
      <c r="M70" s="6" t="s">
        <v>404</v>
      </c>
      <c r="N70" s="10" t="s">
        <v>79</v>
      </c>
      <c r="O70" s="10"/>
    </row>
    <row r="71" spans="1:15" x14ac:dyDescent="0.2">
      <c r="A71" s="6" t="s">
        <v>422</v>
      </c>
      <c r="B71" s="6" t="s">
        <v>13</v>
      </c>
      <c r="C71" s="6" t="s">
        <v>51</v>
      </c>
      <c r="D71" s="6" t="s">
        <v>423</v>
      </c>
      <c r="E71" s="6" t="s">
        <v>424</v>
      </c>
      <c r="F71" s="6" t="s">
        <v>425</v>
      </c>
      <c r="G71" s="6" t="s">
        <v>51</v>
      </c>
      <c r="H71" s="6" t="s">
        <v>273</v>
      </c>
      <c r="I71" s="12" t="s">
        <v>25</v>
      </c>
      <c r="J71" s="13">
        <f>IFERROR(INDEX(Legend!$B$5:$B$7,MATCH(I71,Legend!$A$5:$A$7,0)),0)</f>
        <v>3</v>
      </c>
      <c r="K71" s="10" t="s">
        <v>20</v>
      </c>
      <c r="L71" s="10" t="s">
        <v>16</v>
      </c>
      <c r="M71" s="6" t="s">
        <v>325</v>
      </c>
      <c r="N71" s="10" t="s">
        <v>79</v>
      </c>
      <c r="O71" s="10"/>
    </row>
    <row r="72" spans="1:15" ht="28" x14ac:dyDescent="0.2">
      <c r="A72" s="6" t="s">
        <v>426</v>
      </c>
      <c r="B72" s="6" t="s">
        <v>13</v>
      </c>
      <c r="C72" s="6" t="s">
        <v>42</v>
      </c>
      <c r="D72" s="6" t="s">
        <v>427</v>
      </c>
      <c r="E72" s="6" t="s">
        <v>428</v>
      </c>
      <c r="F72" s="6" t="s">
        <v>429</v>
      </c>
      <c r="G72" s="6" t="s">
        <v>42</v>
      </c>
      <c r="H72" s="6" t="s">
        <v>229</v>
      </c>
      <c r="I72" s="12" t="s">
        <v>25</v>
      </c>
      <c r="J72" s="13">
        <f>IFERROR(INDEX(Legend!$B$5:$B$7,MATCH(I72,Legend!$A$5:$A$7,0)),0)</f>
        <v>3</v>
      </c>
      <c r="K72" s="10" t="s">
        <v>21</v>
      </c>
      <c r="L72" s="10" t="s">
        <v>16</v>
      </c>
      <c r="M72" s="6" t="s">
        <v>408</v>
      </c>
      <c r="N72" s="10" t="s">
        <v>79</v>
      </c>
      <c r="O72" s="10"/>
    </row>
    <row r="73" spans="1:15" ht="28" x14ac:dyDescent="0.2">
      <c r="A73" s="6" t="s">
        <v>430</v>
      </c>
      <c r="B73" s="6" t="s">
        <v>13</v>
      </c>
      <c r="C73" s="6" t="s">
        <v>42</v>
      </c>
      <c r="D73" s="6" t="s">
        <v>431</v>
      </c>
      <c r="E73" s="6" t="s">
        <v>432</v>
      </c>
      <c r="F73" s="6" t="s">
        <v>433</v>
      </c>
      <c r="G73" s="6" t="s">
        <v>42</v>
      </c>
      <c r="H73" s="6" t="s">
        <v>229</v>
      </c>
      <c r="I73" s="12" t="s">
        <v>25</v>
      </c>
      <c r="J73" s="13">
        <f>IFERROR(INDEX(Legend!$B$5:$B$7,MATCH(I73,Legend!$A$5:$A$7,0)),0)</f>
        <v>3</v>
      </c>
      <c r="K73" s="10" t="s">
        <v>21</v>
      </c>
      <c r="L73" s="10" t="s">
        <v>16</v>
      </c>
      <c r="M73" s="6" t="s">
        <v>434</v>
      </c>
      <c r="N73" s="10" t="s">
        <v>79</v>
      </c>
      <c r="O73" s="10"/>
    </row>
    <row r="74" spans="1:15" x14ac:dyDescent="0.2">
      <c r="A74" s="6" t="s">
        <v>435</v>
      </c>
      <c r="B74" s="6" t="s">
        <v>13</v>
      </c>
      <c r="C74" s="6" t="s">
        <v>48</v>
      </c>
      <c r="D74" s="6" t="s">
        <v>436</v>
      </c>
      <c r="E74" s="6" t="s">
        <v>437</v>
      </c>
      <c r="F74" s="6" t="s">
        <v>438</v>
      </c>
      <c r="G74" s="6" t="s">
        <v>228</v>
      </c>
      <c r="H74" s="6" t="s">
        <v>439</v>
      </c>
      <c r="I74" s="12" t="s">
        <v>25</v>
      </c>
      <c r="J74" s="13">
        <f>IFERROR(INDEX(Legend!$B$5:$B$7,MATCH(I74,Legend!$A$5:$A$7,0)),0)</f>
        <v>3</v>
      </c>
      <c r="K74" s="10" t="s">
        <v>20</v>
      </c>
      <c r="L74" s="10" t="s">
        <v>16</v>
      </c>
      <c r="M74" s="6" t="s">
        <v>440</v>
      </c>
      <c r="N74" s="10" t="s">
        <v>79</v>
      </c>
      <c r="O74" s="10"/>
    </row>
    <row r="75" spans="1:15" ht="28" x14ac:dyDescent="0.2">
      <c r="A75" s="6" t="s">
        <v>441</v>
      </c>
      <c r="B75" s="6" t="s">
        <v>13</v>
      </c>
      <c r="C75" s="6" t="s">
        <v>42</v>
      </c>
      <c r="D75" s="6" t="s">
        <v>442</v>
      </c>
      <c r="E75" s="6" t="s">
        <v>443</v>
      </c>
      <c r="F75" s="6" t="s">
        <v>444</v>
      </c>
      <c r="G75" s="6" t="s">
        <v>42</v>
      </c>
      <c r="H75" s="6" t="s">
        <v>229</v>
      </c>
      <c r="I75" s="12" t="s">
        <v>25</v>
      </c>
      <c r="J75" s="13">
        <f>IFERROR(INDEX(Legend!$B$5:$B$7,MATCH(I75,Legend!$A$5:$A$7,0)),0)</f>
        <v>3</v>
      </c>
      <c r="K75" s="10" t="s">
        <v>22</v>
      </c>
      <c r="L75" s="10" t="s">
        <v>17</v>
      </c>
      <c r="M75" s="6" t="s">
        <v>101</v>
      </c>
      <c r="N75" s="10" t="s">
        <v>79</v>
      </c>
      <c r="O75" s="10"/>
    </row>
    <row r="76" spans="1:15" x14ac:dyDescent="0.2">
      <c r="D76" s="4" t="s">
        <v>14</v>
      </c>
      <c r="J76" s="14">
        <f>SUM(J2:J75)</f>
        <v>246</v>
      </c>
    </row>
  </sheetData>
  <autoFilter ref="A1:O75" xr:uid="{00000000-0009-0000-0000-000002000000}"/>
  <conditionalFormatting sqref="K2:K75">
    <cfRule type="cellIs" dxfId="7" priority="2" operator="equal">
      <formula>"High"</formula>
    </cfRule>
    <cfRule type="cellIs" dxfId="6" priority="3" operator="equal">
      <formula>"Medium"</formula>
    </cfRule>
    <cfRule type="cellIs" dxfId="5" priority="4" operator="equal">
      <formula>"Low"</formula>
    </cfRule>
  </conditionalFormatting>
  <conditionalFormatting sqref="L2:L75">
    <cfRule type="cellIs" dxfId="4" priority="5" operator="equal">
      <formula>"P1 - Must"</formula>
    </cfRule>
    <cfRule type="cellIs" dxfId="3" priority="6" operator="equal">
      <formula>"P2 - Should"</formula>
    </cfRule>
    <cfRule type="cellIs" dxfId="2" priority="7" operator="equal">
      <formula>"P3 - Could"</formula>
    </cfRule>
  </conditionalFormatting>
  <conditionalFormatting sqref="N2:N75">
    <cfRule type="cellIs" dxfId="1" priority="8" operator="equal">
      <formula>"Done"</formula>
    </cfRule>
    <cfRule type="cellIs" dxfId="0" priority="9" operator="equal">
      <formula>"Blocked"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Legend!$A$5:$A$7</xm:f>
          </x14:formula1>
          <x14:formula2>
            <xm:f>0</xm:f>
          </x14:formula2>
          <xm:sqref>I2:I75</xm:sqref>
        </x14:dataValidation>
        <x14:dataValidation type="list" allowBlank="1" xr:uid="{00000000-0002-0000-0200-000001000000}">
          <x14:formula1>
            <xm:f>Legend!$A$10:$A$12</xm:f>
          </x14:formula1>
          <x14:formula2>
            <xm:f>0</xm:f>
          </x14:formula2>
          <xm:sqref>K2:K75</xm:sqref>
        </x14:dataValidation>
        <x14:dataValidation type="list" allowBlank="1" xr:uid="{00000000-0002-0000-0200-000002000000}">
          <x14:formula1>
            <xm:f>Legend!$A$15:$A$17</xm:f>
          </x14:formula1>
          <x14:formula2>
            <xm:f>0</xm:f>
          </x14:formula2>
          <xm:sqref>L2:L75</xm:sqref>
        </x14:dataValidation>
        <x14:dataValidation type="list" allowBlank="1" xr:uid="{00000000-0002-0000-0200-000003000000}">
          <x14:formula1>
            <xm:f>Legend!$A$20:$A$23</xm:f>
          </x14:formula1>
          <x14:formula2>
            <xm:f>0</xm:f>
          </x14:formula2>
          <xm:sqref>N2:N75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Legend</vt:lpstr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Siddipeta Jayachandra Reddy</cp:lastModifiedBy>
  <cp:revision>0</cp:revision>
  <dcterms:created xsi:type="dcterms:W3CDTF">2026-10-23T14:27:53Z</dcterms:created>
  <dcterms:modified xsi:type="dcterms:W3CDTF">2026-10-23T14:29:21Z</dcterms:modified>
  <dc:language>en-US</dc:language>
</cp:coreProperties>
</file>